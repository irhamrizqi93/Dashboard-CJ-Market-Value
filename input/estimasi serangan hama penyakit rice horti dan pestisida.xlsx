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WAN\Documents\0. 2026\Claude Project CJ\"/>
    </mc:Choice>
  </mc:AlternateContent>
  <xr:revisionPtr revIDLastSave="0" documentId="13_ncr:1_{168E46FD-C3F2-4A4C-B918-F75B8B94ABD6}" xr6:coauthVersionLast="47" xr6:coauthVersionMax="47" xr10:uidLastSave="{00000000-0000-0000-0000-000000000000}"/>
  <bookViews>
    <workbookView xWindow="-110" yWindow="-110" windowWidth="19420" windowHeight="11500" firstSheet="19" activeTab="19" xr2:uid="{F30761D1-7D8D-46B6-ACC4-D062A1EFD948}"/>
  </bookViews>
  <sheets>
    <sheet name="serangan beluk per TM" sheetId="1" r:id="rId1"/>
    <sheet name="market leader insektisida beluk" sheetId="3" r:id="rId2"/>
    <sheet name="serangan blast padi per TM" sheetId="4" r:id="rId3"/>
    <sheet name="market leader fungisida" sheetId="5" r:id="rId4"/>
    <sheet name="serangan ulat bawang merah" sheetId="6" r:id="rId5"/>
    <sheet name="market leader insekt bamer" sheetId="7" r:id="rId6"/>
    <sheet name="serangan busuk daun kentang" sheetId="8" r:id="rId7"/>
    <sheet name="serangan bercak kering kentang" sheetId="9" r:id="rId8"/>
    <sheet name="serangan busuk umbi kentang" sheetId="10" r:id="rId9"/>
    <sheet name="serangan layu bakteri kentang" sheetId="11" r:id="rId10"/>
    <sheet name="serangan kutu cabai" sheetId="12" r:id="rId11"/>
    <sheet name="market leader kutu cabai" sheetId="18" r:id="rId12"/>
    <sheet name="serangan tungau cabai" sheetId="13" r:id="rId13"/>
    <sheet name="market leader tungau cabai" sheetId="19" r:id="rId14"/>
    <sheet name="serangan thrips cabai" sheetId="14" r:id="rId15"/>
    <sheet name="market leader thrips cabai" sheetId="20" r:id="rId16"/>
    <sheet name="serangan ulat buah cabai" sheetId="15" r:id="rId17"/>
    <sheet name="market leader ulat buah cabai" sheetId="21" r:id="rId18"/>
    <sheet name="serangan ulat daun cabai" sheetId="16" r:id="rId19"/>
    <sheet name="market leader ulat daun cabai" sheetId="22" r:id="rId20"/>
    <sheet name="serangan patek buah cabai" sheetId="17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" i="22" l="1"/>
  <c r="N1" i="22"/>
  <c r="L1" i="22"/>
  <c r="J1" i="22"/>
  <c r="H1" i="22"/>
  <c r="P1" i="21"/>
  <c r="N1" i="21"/>
  <c r="L1" i="21"/>
  <c r="J1" i="21"/>
  <c r="H1" i="21"/>
  <c r="P1" i="20"/>
  <c r="N1" i="20"/>
  <c r="L1" i="20"/>
  <c r="J1" i="20"/>
  <c r="H1" i="20"/>
  <c r="P1" i="19"/>
  <c r="N1" i="19"/>
  <c r="L1" i="19"/>
  <c r="J1" i="19"/>
  <c r="H1" i="19"/>
  <c r="P1" i="18"/>
  <c r="N1" i="18"/>
  <c r="L1" i="18"/>
  <c r="J1" i="18"/>
  <c r="H1" i="18"/>
  <c r="H2" i="17"/>
  <c r="I2" i="17"/>
  <c r="J2" i="17"/>
  <c r="K2" i="17"/>
  <c r="L2" i="17"/>
  <c r="M2" i="17"/>
  <c r="N2" i="17"/>
  <c r="O2" i="17"/>
  <c r="P2" i="17"/>
  <c r="Q2" i="17"/>
  <c r="R2" i="17"/>
  <c r="S2" i="17"/>
  <c r="H3" i="17"/>
  <c r="I3" i="17"/>
  <c r="J3" i="17"/>
  <c r="K3" i="17"/>
  <c r="L3" i="17"/>
  <c r="M3" i="17"/>
  <c r="N3" i="17"/>
  <c r="O3" i="17"/>
  <c r="P3" i="17"/>
  <c r="Q3" i="17"/>
  <c r="R3" i="17"/>
  <c r="S3" i="17"/>
  <c r="H4" i="17"/>
  <c r="I4" i="17"/>
  <c r="J4" i="17"/>
  <c r="K4" i="17"/>
  <c r="L4" i="17"/>
  <c r="M4" i="17"/>
  <c r="N4" i="17"/>
  <c r="O4" i="17"/>
  <c r="P4" i="17"/>
  <c r="Q4" i="17"/>
  <c r="R4" i="17"/>
  <c r="S4" i="17"/>
  <c r="H5" i="17"/>
  <c r="I5" i="17"/>
  <c r="J5" i="17"/>
  <c r="K5" i="17"/>
  <c r="L5" i="17"/>
  <c r="M5" i="17"/>
  <c r="N5" i="17"/>
  <c r="O5" i="17"/>
  <c r="P5" i="17"/>
  <c r="Q5" i="17"/>
  <c r="R5" i="17"/>
  <c r="S5" i="17"/>
  <c r="H6" i="17"/>
  <c r="I6" i="17"/>
  <c r="J6" i="17"/>
  <c r="K6" i="17"/>
  <c r="L6" i="17"/>
  <c r="M6" i="17"/>
  <c r="N6" i="17"/>
  <c r="O6" i="17"/>
  <c r="P6" i="17"/>
  <c r="Q6" i="17"/>
  <c r="R6" i="17"/>
  <c r="S6" i="17"/>
  <c r="H7" i="17"/>
  <c r="I7" i="17"/>
  <c r="J7" i="17"/>
  <c r="K7" i="17"/>
  <c r="L7" i="17"/>
  <c r="M7" i="17"/>
  <c r="N7" i="17"/>
  <c r="O7" i="17"/>
  <c r="P7" i="17"/>
  <c r="Q7" i="17"/>
  <c r="R7" i="17"/>
  <c r="S7" i="17"/>
  <c r="H8" i="17"/>
  <c r="I8" i="17"/>
  <c r="J8" i="17"/>
  <c r="K8" i="17"/>
  <c r="L8" i="17"/>
  <c r="M8" i="17"/>
  <c r="N8" i="17"/>
  <c r="O8" i="17"/>
  <c r="P8" i="17"/>
  <c r="Q8" i="17"/>
  <c r="R8" i="17"/>
  <c r="S8" i="17"/>
  <c r="H9" i="17"/>
  <c r="I9" i="17"/>
  <c r="J9" i="17"/>
  <c r="K9" i="17"/>
  <c r="L9" i="17"/>
  <c r="M9" i="17"/>
  <c r="N9" i="17"/>
  <c r="O9" i="17"/>
  <c r="P9" i="17"/>
  <c r="Q9" i="17"/>
  <c r="R9" i="17"/>
  <c r="S9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G2" i="17"/>
  <c r="G3" i="17"/>
  <c r="G4" i="17"/>
  <c r="G5" i="17"/>
  <c r="G6" i="17"/>
  <c r="G7" i="17"/>
  <c r="G8" i="17"/>
  <c r="G9" i="17"/>
  <c r="G10" i="17"/>
  <c r="F2" i="17"/>
  <c r="F3" i="17"/>
  <c r="F4" i="17"/>
  <c r="F5" i="17"/>
  <c r="F6" i="17"/>
  <c r="F7" i="17"/>
  <c r="F8" i="17"/>
  <c r="F9" i="17"/>
  <c r="F10" i="17"/>
  <c r="H2" i="16"/>
  <c r="I2" i="16"/>
  <c r="J2" i="16"/>
  <c r="K2" i="16"/>
  <c r="L2" i="16"/>
  <c r="M2" i="16"/>
  <c r="N2" i="16"/>
  <c r="O2" i="16"/>
  <c r="P2" i="16"/>
  <c r="Q2" i="16"/>
  <c r="R2" i="16"/>
  <c r="S2" i="16"/>
  <c r="H3" i="16"/>
  <c r="I3" i="16"/>
  <c r="J3" i="16"/>
  <c r="K3" i="16"/>
  <c r="L3" i="16"/>
  <c r="M3" i="16"/>
  <c r="N3" i="16"/>
  <c r="O3" i="16"/>
  <c r="P3" i="16"/>
  <c r="Q3" i="16"/>
  <c r="R3" i="16"/>
  <c r="S3" i="16"/>
  <c r="H4" i="16"/>
  <c r="I4" i="16"/>
  <c r="J4" i="16"/>
  <c r="K4" i="16"/>
  <c r="L4" i="16"/>
  <c r="M4" i="16"/>
  <c r="N4" i="16"/>
  <c r="O4" i="16"/>
  <c r="P4" i="16"/>
  <c r="Q4" i="16"/>
  <c r="R4" i="16"/>
  <c r="S4" i="16"/>
  <c r="H5" i="16"/>
  <c r="I5" i="16"/>
  <c r="J5" i="16"/>
  <c r="K5" i="16"/>
  <c r="L5" i="16"/>
  <c r="M5" i="16"/>
  <c r="N5" i="16"/>
  <c r="O5" i="16"/>
  <c r="P5" i="16"/>
  <c r="Q5" i="16"/>
  <c r="R5" i="16"/>
  <c r="S5" i="16"/>
  <c r="H6" i="16"/>
  <c r="I6" i="16"/>
  <c r="J6" i="16"/>
  <c r="K6" i="16"/>
  <c r="L6" i="16"/>
  <c r="M6" i="16"/>
  <c r="N6" i="16"/>
  <c r="O6" i="16"/>
  <c r="P6" i="16"/>
  <c r="Q6" i="16"/>
  <c r="R6" i="16"/>
  <c r="S6" i="16"/>
  <c r="H7" i="16"/>
  <c r="I7" i="16"/>
  <c r="J7" i="16"/>
  <c r="K7" i="16"/>
  <c r="L7" i="16"/>
  <c r="M7" i="16"/>
  <c r="N7" i="16"/>
  <c r="O7" i="16"/>
  <c r="P7" i="16"/>
  <c r="Q7" i="16"/>
  <c r="R7" i="16"/>
  <c r="S7" i="16"/>
  <c r="H8" i="16"/>
  <c r="I8" i="16"/>
  <c r="J8" i="16"/>
  <c r="K8" i="16"/>
  <c r="L8" i="16"/>
  <c r="M8" i="16"/>
  <c r="N8" i="16"/>
  <c r="O8" i="16"/>
  <c r="P8" i="16"/>
  <c r="Q8" i="16"/>
  <c r="R8" i="16"/>
  <c r="S8" i="16"/>
  <c r="H9" i="16"/>
  <c r="I9" i="16"/>
  <c r="J9" i="16"/>
  <c r="K9" i="16"/>
  <c r="L9" i="16"/>
  <c r="M9" i="16"/>
  <c r="N9" i="16"/>
  <c r="O9" i="16"/>
  <c r="P9" i="16"/>
  <c r="Q9" i="16"/>
  <c r="R9" i="16"/>
  <c r="S9" i="16"/>
  <c r="H10" i="16"/>
  <c r="I10" i="16"/>
  <c r="J10" i="16"/>
  <c r="K10" i="16"/>
  <c r="L10" i="16"/>
  <c r="M10" i="16"/>
  <c r="N10" i="16"/>
  <c r="O10" i="16"/>
  <c r="P10" i="16"/>
  <c r="Q10" i="16"/>
  <c r="R10" i="16"/>
  <c r="S10" i="16"/>
  <c r="G2" i="16"/>
  <c r="G3" i="16"/>
  <c r="G4" i="16"/>
  <c r="G5" i="16"/>
  <c r="G6" i="16"/>
  <c r="G7" i="16"/>
  <c r="G8" i="16"/>
  <c r="G9" i="16"/>
  <c r="G10" i="16"/>
  <c r="F2" i="16"/>
  <c r="F3" i="16"/>
  <c r="F4" i="16"/>
  <c r="F5" i="16"/>
  <c r="F6" i="16"/>
  <c r="F7" i="16"/>
  <c r="F8" i="16"/>
  <c r="F9" i="16"/>
  <c r="F10" i="16"/>
  <c r="H2" i="15"/>
  <c r="I2" i="15"/>
  <c r="J2" i="15"/>
  <c r="K2" i="15"/>
  <c r="L2" i="15"/>
  <c r="M2" i="15"/>
  <c r="N2" i="15"/>
  <c r="O2" i="15"/>
  <c r="P2" i="15"/>
  <c r="Q2" i="15"/>
  <c r="R2" i="15"/>
  <c r="S2" i="15"/>
  <c r="H3" i="15"/>
  <c r="I3" i="15"/>
  <c r="J3" i="15"/>
  <c r="K3" i="15"/>
  <c r="L3" i="15"/>
  <c r="M3" i="15"/>
  <c r="N3" i="15"/>
  <c r="O3" i="15"/>
  <c r="P3" i="15"/>
  <c r="Q3" i="15"/>
  <c r="R3" i="15"/>
  <c r="S3" i="15"/>
  <c r="H4" i="15"/>
  <c r="I4" i="15"/>
  <c r="J4" i="15"/>
  <c r="K4" i="15"/>
  <c r="L4" i="15"/>
  <c r="M4" i="15"/>
  <c r="N4" i="15"/>
  <c r="O4" i="15"/>
  <c r="P4" i="15"/>
  <c r="Q4" i="15"/>
  <c r="R4" i="15"/>
  <c r="S4" i="15"/>
  <c r="H5" i="15"/>
  <c r="I5" i="15"/>
  <c r="J5" i="15"/>
  <c r="K5" i="15"/>
  <c r="L5" i="15"/>
  <c r="M5" i="15"/>
  <c r="N5" i="15"/>
  <c r="O5" i="15"/>
  <c r="P5" i="15"/>
  <c r="Q5" i="15"/>
  <c r="R5" i="15"/>
  <c r="S5" i="15"/>
  <c r="H6" i="15"/>
  <c r="I6" i="15"/>
  <c r="J6" i="15"/>
  <c r="K6" i="15"/>
  <c r="L6" i="15"/>
  <c r="M6" i="15"/>
  <c r="N6" i="15"/>
  <c r="O6" i="15"/>
  <c r="P6" i="15"/>
  <c r="Q6" i="15"/>
  <c r="R6" i="15"/>
  <c r="S6" i="15"/>
  <c r="H7" i="15"/>
  <c r="I7" i="15"/>
  <c r="J7" i="15"/>
  <c r="K7" i="15"/>
  <c r="L7" i="15"/>
  <c r="M7" i="15"/>
  <c r="N7" i="15"/>
  <c r="O7" i="15"/>
  <c r="P7" i="15"/>
  <c r="Q7" i="15"/>
  <c r="R7" i="15"/>
  <c r="S7" i="15"/>
  <c r="H8" i="15"/>
  <c r="I8" i="15"/>
  <c r="J8" i="15"/>
  <c r="K8" i="15"/>
  <c r="L8" i="15"/>
  <c r="M8" i="15"/>
  <c r="N8" i="15"/>
  <c r="O8" i="15"/>
  <c r="P8" i="15"/>
  <c r="Q8" i="15"/>
  <c r="R8" i="15"/>
  <c r="S8" i="15"/>
  <c r="H9" i="15"/>
  <c r="I9" i="15"/>
  <c r="J9" i="15"/>
  <c r="K9" i="15"/>
  <c r="L9" i="15"/>
  <c r="M9" i="15"/>
  <c r="N9" i="15"/>
  <c r="O9" i="15"/>
  <c r="P9" i="15"/>
  <c r="Q9" i="15"/>
  <c r="R9" i="15"/>
  <c r="S9" i="15"/>
  <c r="H10" i="15"/>
  <c r="I10" i="15"/>
  <c r="J10" i="15"/>
  <c r="K10" i="15"/>
  <c r="L10" i="15"/>
  <c r="M10" i="15"/>
  <c r="N10" i="15"/>
  <c r="O10" i="15"/>
  <c r="P10" i="15"/>
  <c r="Q10" i="15"/>
  <c r="R10" i="15"/>
  <c r="S10" i="15"/>
  <c r="G2" i="15"/>
  <c r="G3" i="15"/>
  <c r="G4" i="15"/>
  <c r="G5" i="15"/>
  <c r="G6" i="15"/>
  <c r="G7" i="15"/>
  <c r="G8" i="15"/>
  <c r="G9" i="15"/>
  <c r="G10" i="15"/>
  <c r="F2" i="15"/>
  <c r="F3" i="15"/>
  <c r="F4" i="15"/>
  <c r="F5" i="15"/>
  <c r="F6" i="15"/>
  <c r="F7" i="15"/>
  <c r="F8" i="15"/>
  <c r="F9" i="15"/>
  <c r="F10" i="15"/>
  <c r="H2" i="14"/>
  <c r="I2" i="14"/>
  <c r="J2" i="14"/>
  <c r="K2" i="14"/>
  <c r="L2" i="14"/>
  <c r="M2" i="14"/>
  <c r="N2" i="14"/>
  <c r="O2" i="14"/>
  <c r="P2" i="14"/>
  <c r="Q2" i="14"/>
  <c r="R2" i="14"/>
  <c r="S2" i="14"/>
  <c r="H3" i="14"/>
  <c r="I3" i="14"/>
  <c r="J3" i="14"/>
  <c r="K3" i="14"/>
  <c r="L3" i="14"/>
  <c r="M3" i="14"/>
  <c r="N3" i="14"/>
  <c r="O3" i="14"/>
  <c r="P3" i="14"/>
  <c r="Q3" i="14"/>
  <c r="R3" i="14"/>
  <c r="S3" i="14"/>
  <c r="H4" i="14"/>
  <c r="I4" i="14"/>
  <c r="J4" i="14"/>
  <c r="K4" i="14"/>
  <c r="L4" i="14"/>
  <c r="M4" i="14"/>
  <c r="N4" i="14"/>
  <c r="O4" i="14"/>
  <c r="P4" i="14"/>
  <c r="Q4" i="14"/>
  <c r="R4" i="14"/>
  <c r="S4" i="14"/>
  <c r="H5" i="14"/>
  <c r="I5" i="14"/>
  <c r="J5" i="14"/>
  <c r="K5" i="14"/>
  <c r="L5" i="14"/>
  <c r="M5" i="14"/>
  <c r="N5" i="14"/>
  <c r="O5" i="14"/>
  <c r="P5" i="14"/>
  <c r="Q5" i="14"/>
  <c r="R5" i="14"/>
  <c r="S5" i="14"/>
  <c r="H6" i="14"/>
  <c r="I6" i="14"/>
  <c r="J6" i="14"/>
  <c r="K6" i="14"/>
  <c r="L6" i="14"/>
  <c r="M6" i="14"/>
  <c r="N6" i="14"/>
  <c r="O6" i="14"/>
  <c r="P6" i="14"/>
  <c r="Q6" i="14"/>
  <c r="R6" i="14"/>
  <c r="S6" i="14"/>
  <c r="H7" i="14"/>
  <c r="I7" i="14"/>
  <c r="J7" i="14"/>
  <c r="K7" i="14"/>
  <c r="L7" i="14"/>
  <c r="M7" i="14"/>
  <c r="N7" i="14"/>
  <c r="O7" i="14"/>
  <c r="P7" i="14"/>
  <c r="Q7" i="14"/>
  <c r="R7" i="14"/>
  <c r="S7" i="14"/>
  <c r="H8" i="14"/>
  <c r="I8" i="14"/>
  <c r="J8" i="14"/>
  <c r="K8" i="14"/>
  <c r="L8" i="14"/>
  <c r="M8" i="14"/>
  <c r="N8" i="14"/>
  <c r="O8" i="14"/>
  <c r="P8" i="14"/>
  <c r="Q8" i="14"/>
  <c r="R8" i="14"/>
  <c r="S8" i="14"/>
  <c r="H9" i="14"/>
  <c r="I9" i="14"/>
  <c r="J9" i="14"/>
  <c r="K9" i="14"/>
  <c r="L9" i="14"/>
  <c r="M9" i="14"/>
  <c r="N9" i="14"/>
  <c r="O9" i="14"/>
  <c r="P9" i="14"/>
  <c r="Q9" i="14"/>
  <c r="R9" i="14"/>
  <c r="S9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G2" i="14"/>
  <c r="G3" i="14"/>
  <c r="G4" i="14"/>
  <c r="G5" i="14"/>
  <c r="G6" i="14"/>
  <c r="G7" i="14"/>
  <c r="G8" i="14"/>
  <c r="G9" i="14"/>
  <c r="G10" i="14"/>
  <c r="F2" i="14"/>
  <c r="F3" i="14"/>
  <c r="F4" i="14"/>
  <c r="F5" i="14"/>
  <c r="F6" i="14"/>
  <c r="F7" i="14"/>
  <c r="F8" i="14"/>
  <c r="F9" i="14"/>
  <c r="F10" i="14"/>
  <c r="H2" i="13"/>
  <c r="I2" i="13"/>
  <c r="J2" i="13"/>
  <c r="K2" i="13"/>
  <c r="L2" i="13"/>
  <c r="M2" i="13"/>
  <c r="N2" i="13"/>
  <c r="O2" i="13"/>
  <c r="P2" i="13"/>
  <c r="Q2" i="13"/>
  <c r="R2" i="13"/>
  <c r="S2" i="13"/>
  <c r="H3" i="13"/>
  <c r="I3" i="13"/>
  <c r="J3" i="13"/>
  <c r="K3" i="13"/>
  <c r="L3" i="13"/>
  <c r="M3" i="13"/>
  <c r="N3" i="13"/>
  <c r="O3" i="13"/>
  <c r="P3" i="13"/>
  <c r="Q3" i="13"/>
  <c r="R3" i="13"/>
  <c r="S3" i="13"/>
  <c r="H4" i="13"/>
  <c r="I4" i="13"/>
  <c r="J4" i="13"/>
  <c r="K4" i="13"/>
  <c r="L4" i="13"/>
  <c r="M4" i="13"/>
  <c r="N4" i="13"/>
  <c r="O4" i="13"/>
  <c r="P4" i="13"/>
  <c r="Q4" i="13"/>
  <c r="R4" i="13"/>
  <c r="S4" i="13"/>
  <c r="H5" i="13"/>
  <c r="I5" i="13"/>
  <c r="J5" i="13"/>
  <c r="K5" i="13"/>
  <c r="L5" i="13"/>
  <c r="M5" i="13"/>
  <c r="N5" i="13"/>
  <c r="O5" i="13"/>
  <c r="P5" i="13"/>
  <c r="Q5" i="13"/>
  <c r="R5" i="13"/>
  <c r="S5" i="13"/>
  <c r="H6" i="13"/>
  <c r="I6" i="13"/>
  <c r="J6" i="13"/>
  <c r="K6" i="13"/>
  <c r="L6" i="13"/>
  <c r="M6" i="13"/>
  <c r="N6" i="13"/>
  <c r="O6" i="13"/>
  <c r="P6" i="13"/>
  <c r="Q6" i="13"/>
  <c r="R6" i="13"/>
  <c r="S6" i="13"/>
  <c r="H7" i="13"/>
  <c r="I7" i="13"/>
  <c r="J7" i="13"/>
  <c r="K7" i="13"/>
  <c r="L7" i="13"/>
  <c r="M7" i="13"/>
  <c r="N7" i="13"/>
  <c r="O7" i="13"/>
  <c r="P7" i="13"/>
  <c r="Q7" i="13"/>
  <c r="R7" i="13"/>
  <c r="S7" i="13"/>
  <c r="H8" i="13"/>
  <c r="I8" i="13"/>
  <c r="J8" i="13"/>
  <c r="K8" i="13"/>
  <c r="L8" i="13"/>
  <c r="M8" i="13"/>
  <c r="N8" i="13"/>
  <c r="O8" i="13"/>
  <c r="P8" i="13"/>
  <c r="Q8" i="13"/>
  <c r="R8" i="13"/>
  <c r="S8" i="13"/>
  <c r="H9" i="13"/>
  <c r="I9" i="13"/>
  <c r="J9" i="13"/>
  <c r="K9" i="13"/>
  <c r="L9" i="13"/>
  <c r="M9" i="13"/>
  <c r="N9" i="13"/>
  <c r="O9" i="13"/>
  <c r="P9" i="13"/>
  <c r="Q9" i="13"/>
  <c r="R9" i="13"/>
  <c r="S9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G2" i="13"/>
  <c r="G3" i="13"/>
  <c r="G4" i="13"/>
  <c r="G5" i="13"/>
  <c r="G6" i="13"/>
  <c r="G7" i="13"/>
  <c r="G8" i="13"/>
  <c r="G9" i="13"/>
  <c r="G10" i="13"/>
  <c r="F2" i="13"/>
  <c r="F3" i="13"/>
  <c r="F4" i="13"/>
  <c r="F5" i="13"/>
  <c r="F6" i="13"/>
  <c r="F7" i="13"/>
  <c r="F8" i="13"/>
  <c r="F9" i="13"/>
  <c r="F10" i="13"/>
  <c r="H2" i="12"/>
  <c r="I2" i="12"/>
  <c r="J2" i="12"/>
  <c r="K2" i="12"/>
  <c r="L2" i="12"/>
  <c r="M2" i="12"/>
  <c r="N2" i="12"/>
  <c r="O2" i="12"/>
  <c r="P2" i="12"/>
  <c r="Q2" i="12"/>
  <c r="R2" i="12"/>
  <c r="S2" i="12"/>
  <c r="H3" i="12"/>
  <c r="I3" i="12"/>
  <c r="J3" i="12"/>
  <c r="K3" i="12"/>
  <c r="L3" i="12"/>
  <c r="M3" i="12"/>
  <c r="N3" i="12"/>
  <c r="O3" i="12"/>
  <c r="P3" i="12"/>
  <c r="Q3" i="12"/>
  <c r="R3" i="12"/>
  <c r="S3" i="12"/>
  <c r="H4" i="12"/>
  <c r="I4" i="12"/>
  <c r="J4" i="12"/>
  <c r="K4" i="12"/>
  <c r="L4" i="12"/>
  <c r="M4" i="12"/>
  <c r="N4" i="12"/>
  <c r="O4" i="12"/>
  <c r="P4" i="12"/>
  <c r="Q4" i="12"/>
  <c r="R4" i="12"/>
  <c r="S4" i="12"/>
  <c r="H5" i="12"/>
  <c r="I5" i="12"/>
  <c r="J5" i="12"/>
  <c r="K5" i="12"/>
  <c r="L5" i="12"/>
  <c r="M5" i="12"/>
  <c r="N5" i="12"/>
  <c r="O5" i="12"/>
  <c r="P5" i="12"/>
  <c r="Q5" i="12"/>
  <c r="R5" i="12"/>
  <c r="S5" i="12"/>
  <c r="H6" i="12"/>
  <c r="I6" i="12"/>
  <c r="J6" i="12"/>
  <c r="K6" i="12"/>
  <c r="L6" i="12"/>
  <c r="M6" i="12"/>
  <c r="N6" i="12"/>
  <c r="O6" i="12"/>
  <c r="P6" i="12"/>
  <c r="Q6" i="12"/>
  <c r="R6" i="12"/>
  <c r="S6" i="12"/>
  <c r="H7" i="12"/>
  <c r="I7" i="12"/>
  <c r="J7" i="12"/>
  <c r="K7" i="12"/>
  <c r="L7" i="12"/>
  <c r="M7" i="12"/>
  <c r="N7" i="12"/>
  <c r="O7" i="12"/>
  <c r="P7" i="12"/>
  <c r="Q7" i="12"/>
  <c r="R7" i="12"/>
  <c r="S7" i="12"/>
  <c r="H8" i="12"/>
  <c r="I8" i="12"/>
  <c r="J8" i="12"/>
  <c r="K8" i="12"/>
  <c r="L8" i="12"/>
  <c r="M8" i="12"/>
  <c r="N8" i="12"/>
  <c r="O8" i="12"/>
  <c r="P8" i="12"/>
  <c r="Q8" i="12"/>
  <c r="R8" i="12"/>
  <c r="S8" i="12"/>
  <c r="H9" i="12"/>
  <c r="I9" i="12"/>
  <c r="J9" i="12"/>
  <c r="K9" i="12"/>
  <c r="L9" i="12"/>
  <c r="M9" i="12"/>
  <c r="N9" i="12"/>
  <c r="O9" i="12"/>
  <c r="P9" i="12"/>
  <c r="Q9" i="12"/>
  <c r="R9" i="12"/>
  <c r="S9" i="12"/>
  <c r="H10" i="12"/>
  <c r="I10" i="12"/>
  <c r="J10" i="12"/>
  <c r="K10" i="12"/>
  <c r="L10" i="12"/>
  <c r="M10" i="12"/>
  <c r="N10" i="12"/>
  <c r="O10" i="12"/>
  <c r="P10" i="12"/>
  <c r="Q10" i="12"/>
  <c r="R10" i="12"/>
  <c r="S10" i="12"/>
  <c r="G2" i="12"/>
  <c r="G3" i="12"/>
  <c r="G4" i="12"/>
  <c r="G5" i="12"/>
  <c r="G6" i="12"/>
  <c r="G7" i="12"/>
  <c r="G8" i="12"/>
  <c r="G9" i="12"/>
  <c r="G10" i="12"/>
  <c r="F2" i="12"/>
  <c r="F3" i="12"/>
  <c r="F4" i="12"/>
  <c r="F5" i="12"/>
  <c r="F6" i="12"/>
  <c r="F7" i="12"/>
  <c r="F8" i="12"/>
  <c r="F9" i="12"/>
  <c r="F10" i="12"/>
  <c r="H2" i="11"/>
  <c r="I2" i="11"/>
  <c r="J2" i="11"/>
  <c r="K2" i="11"/>
  <c r="L2" i="11"/>
  <c r="M2" i="11"/>
  <c r="N2" i="11"/>
  <c r="O2" i="11"/>
  <c r="P2" i="11"/>
  <c r="Q2" i="11"/>
  <c r="R2" i="11"/>
  <c r="S2" i="11"/>
  <c r="H3" i="11"/>
  <c r="I3" i="11"/>
  <c r="J3" i="11"/>
  <c r="K3" i="11"/>
  <c r="L3" i="11"/>
  <c r="M3" i="11"/>
  <c r="N3" i="11"/>
  <c r="O3" i="11"/>
  <c r="P3" i="11"/>
  <c r="Q3" i="11"/>
  <c r="R3" i="11"/>
  <c r="S3" i="11"/>
  <c r="H4" i="11"/>
  <c r="I4" i="11"/>
  <c r="J4" i="11"/>
  <c r="K4" i="11"/>
  <c r="L4" i="11"/>
  <c r="M4" i="11"/>
  <c r="N4" i="11"/>
  <c r="O4" i="11"/>
  <c r="P4" i="11"/>
  <c r="Q4" i="11"/>
  <c r="R4" i="11"/>
  <c r="S4" i="11"/>
  <c r="H5" i="11"/>
  <c r="I5" i="11"/>
  <c r="J5" i="11"/>
  <c r="K5" i="11"/>
  <c r="L5" i="11"/>
  <c r="M5" i="11"/>
  <c r="N5" i="11"/>
  <c r="O5" i="11"/>
  <c r="P5" i="11"/>
  <c r="Q5" i="11"/>
  <c r="R5" i="11"/>
  <c r="S5" i="11"/>
  <c r="H6" i="11"/>
  <c r="I6" i="11"/>
  <c r="J6" i="11"/>
  <c r="K6" i="11"/>
  <c r="L6" i="11"/>
  <c r="M6" i="11"/>
  <c r="N6" i="11"/>
  <c r="O6" i="11"/>
  <c r="P6" i="11"/>
  <c r="Q6" i="11"/>
  <c r="R6" i="11"/>
  <c r="S6" i="11"/>
  <c r="H7" i="11"/>
  <c r="I7" i="11"/>
  <c r="J7" i="11"/>
  <c r="K7" i="11"/>
  <c r="L7" i="11"/>
  <c r="M7" i="11"/>
  <c r="N7" i="11"/>
  <c r="O7" i="11"/>
  <c r="P7" i="11"/>
  <c r="Q7" i="11"/>
  <c r="R7" i="11"/>
  <c r="S7" i="11"/>
  <c r="H8" i="11"/>
  <c r="I8" i="11"/>
  <c r="J8" i="11"/>
  <c r="K8" i="11"/>
  <c r="L8" i="11"/>
  <c r="M8" i="11"/>
  <c r="N8" i="11"/>
  <c r="O8" i="11"/>
  <c r="P8" i="11"/>
  <c r="Q8" i="11"/>
  <c r="R8" i="11"/>
  <c r="S8" i="11"/>
  <c r="H9" i="11"/>
  <c r="I9" i="11"/>
  <c r="J9" i="11"/>
  <c r="K9" i="11"/>
  <c r="L9" i="11"/>
  <c r="M9" i="11"/>
  <c r="N9" i="11"/>
  <c r="O9" i="11"/>
  <c r="P9" i="11"/>
  <c r="Q9" i="11"/>
  <c r="R9" i="11"/>
  <c r="S9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F2" i="11"/>
  <c r="G2" i="11" s="1"/>
  <c r="F3" i="11"/>
  <c r="G3" i="11" s="1"/>
  <c r="F4" i="11"/>
  <c r="G4" i="11" s="1"/>
  <c r="F5" i="11"/>
  <c r="G5" i="11" s="1"/>
  <c r="F6" i="11"/>
  <c r="G6" i="11" s="1"/>
  <c r="F7" i="11"/>
  <c r="G7" i="11" s="1"/>
  <c r="F8" i="11"/>
  <c r="G8" i="11" s="1"/>
  <c r="F9" i="11"/>
  <c r="G9" i="11" s="1"/>
  <c r="F10" i="11"/>
  <c r="G10" i="11" s="1"/>
  <c r="F11" i="11"/>
  <c r="G11" i="11" s="1"/>
  <c r="F12" i="11"/>
  <c r="G12" i="11" s="1"/>
  <c r="H2" i="10"/>
  <c r="I2" i="10"/>
  <c r="J2" i="10"/>
  <c r="K2" i="10"/>
  <c r="L2" i="10"/>
  <c r="M2" i="10"/>
  <c r="N2" i="10"/>
  <c r="O2" i="10"/>
  <c r="P2" i="10"/>
  <c r="Q2" i="10"/>
  <c r="R2" i="10"/>
  <c r="S2" i="10"/>
  <c r="H3" i="10"/>
  <c r="I3" i="10"/>
  <c r="J3" i="10"/>
  <c r="K3" i="10"/>
  <c r="L3" i="10"/>
  <c r="M3" i="10"/>
  <c r="N3" i="10"/>
  <c r="O3" i="10"/>
  <c r="P3" i="10"/>
  <c r="Q3" i="10"/>
  <c r="R3" i="10"/>
  <c r="S3" i="10"/>
  <c r="H4" i="10"/>
  <c r="I4" i="10"/>
  <c r="J4" i="10"/>
  <c r="K4" i="10"/>
  <c r="L4" i="10"/>
  <c r="M4" i="10"/>
  <c r="N4" i="10"/>
  <c r="O4" i="10"/>
  <c r="P4" i="10"/>
  <c r="Q4" i="10"/>
  <c r="R4" i="10"/>
  <c r="S4" i="10"/>
  <c r="H5" i="10"/>
  <c r="I5" i="10"/>
  <c r="J5" i="10"/>
  <c r="K5" i="10"/>
  <c r="L5" i="10"/>
  <c r="M5" i="10"/>
  <c r="N5" i="10"/>
  <c r="O5" i="10"/>
  <c r="P5" i="10"/>
  <c r="Q5" i="10"/>
  <c r="R5" i="10"/>
  <c r="S5" i="10"/>
  <c r="H6" i="10"/>
  <c r="I6" i="10"/>
  <c r="J6" i="10"/>
  <c r="K6" i="10"/>
  <c r="L6" i="10"/>
  <c r="M6" i="10"/>
  <c r="N6" i="10"/>
  <c r="O6" i="10"/>
  <c r="P6" i="10"/>
  <c r="Q6" i="10"/>
  <c r="R6" i="10"/>
  <c r="S6" i="10"/>
  <c r="H7" i="10"/>
  <c r="I7" i="10"/>
  <c r="J7" i="10"/>
  <c r="K7" i="10"/>
  <c r="L7" i="10"/>
  <c r="M7" i="10"/>
  <c r="N7" i="10"/>
  <c r="O7" i="10"/>
  <c r="P7" i="10"/>
  <c r="Q7" i="10"/>
  <c r="R7" i="10"/>
  <c r="S7" i="10"/>
  <c r="H8" i="10"/>
  <c r="I8" i="10"/>
  <c r="J8" i="10"/>
  <c r="K8" i="10"/>
  <c r="L8" i="10"/>
  <c r="M8" i="10"/>
  <c r="N8" i="10"/>
  <c r="O8" i="10"/>
  <c r="P8" i="10"/>
  <c r="Q8" i="10"/>
  <c r="R8" i="10"/>
  <c r="S8" i="10"/>
  <c r="H9" i="10"/>
  <c r="I9" i="10"/>
  <c r="J9" i="10"/>
  <c r="K9" i="10"/>
  <c r="L9" i="10"/>
  <c r="M9" i="10"/>
  <c r="N9" i="10"/>
  <c r="O9" i="10"/>
  <c r="P9" i="10"/>
  <c r="Q9" i="10"/>
  <c r="R9" i="10"/>
  <c r="S9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F2" i="10"/>
  <c r="G2" i="10" s="1"/>
  <c r="F3" i="10"/>
  <c r="G3" i="10" s="1"/>
  <c r="F4" i="10"/>
  <c r="G4" i="10" s="1"/>
  <c r="F5" i="10"/>
  <c r="G5" i="10" s="1"/>
  <c r="F6" i="10"/>
  <c r="G6" i="10" s="1"/>
  <c r="F7" i="10"/>
  <c r="G7" i="10" s="1"/>
  <c r="F8" i="10"/>
  <c r="G8" i="10" s="1"/>
  <c r="F9" i="10"/>
  <c r="G9" i="10" s="1"/>
  <c r="F10" i="10"/>
  <c r="G10" i="10" s="1"/>
  <c r="F11" i="10"/>
  <c r="G11" i="10" s="1"/>
  <c r="F12" i="10"/>
  <c r="G12" i="10" s="1"/>
  <c r="H2" i="9"/>
  <c r="I2" i="9"/>
  <c r="J2" i="9"/>
  <c r="K2" i="9"/>
  <c r="L2" i="9"/>
  <c r="M2" i="9"/>
  <c r="N2" i="9"/>
  <c r="O2" i="9"/>
  <c r="P2" i="9"/>
  <c r="Q2" i="9"/>
  <c r="R2" i="9"/>
  <c r="S2" i="9"/>
  <c r="H3" i="9"/>
  <c r="I3" i="9"/>
  <c r="J3" i="9"/>
  <c r="K3" i="9"/>
  <c r="L3" i="9"/>
  <c r="M3" i="9"/>
  <c r="N3" i="9"/>
  <c r="O3" i="9"/>
  <c r="P3" i="9"/>
  <c r="Q3" i="9"/>
  <c r="R3" i="9"/>
  <c r="S3" i="9"/>
  <c r="H4" i="9"/>
  <c r="I4" i="9"/>
  <c r="J4" i="9"/>
  <c r="K4" i="9"/>
  <c r="L4" i="9"/>
  <c r="M4" i="9"/>
  <c r="N4" i="9"/>
  <c r="O4" i="9"/>
  <c r="P4" i="9"/>
  <c r="Q4" i="9"/>
  <c r="R4" i="9"/>
  <c r="S4" i="9"/>
  <c r="H5" i="9"/>
  <c r="I5" i="9"/>
  <c r="J5" i="9"/>
  <c r="K5" i="9"/>
  <c r="L5" i="9"/>
  <c r="M5" i="9"/>
  <c r="N5" i="9"/>
  <c r="O5" i="9"/>
  <c r="P5" i="9"/>
  <c r="Q5" i="9"/>
  <c r="R5" i="9"/>
  <c r="S5" i="9"/>
  <c r="H6" i="9"/>
  <c r="I6" i="9"/>
  <c r="J6" i="9"/>
  <c r="K6" i="9"/>
  <c r="L6" i="9"/>
  <c r="M6" i="9"/>
  <c r="N6" i="9"/>
  <c r="O6" i="9"/>
  <c r="P6" i="9"/>
  <c r="Q6" i="9"/>
  <c r="R6" i="9"/>
  <c r="S6" i="9"/>
  <c r="H7" i="9"/>
  <c r="I7" i="9"/>
  <c r="J7" i="9"/>
  <c r="K7" i="9"/>
  <c r="L7" i="9"/>
  <c r="M7" i="9"/>
  <c r="N7" i="9"/>
  <c r="O7" i="9"/>
  <c r="P7" i="9"/>
  <c r="Q7" i="9"/>
  <c r="R7" i="9"/>
  <c r="S7" i="9"/>
  <c r="H8" i="9"/>
  <c r="I8" i="9"/>
  <c r="J8" i="9"/>
  <c r="K8" i="9"/>
  <c r="L8" i="9"/>
  <c r="M8" i="9"/>
  <c r="N8" i="9"/>
  <c r="O8" i="9"/>
  <c r="P8" i="9"/>
  <c r="Q8" i="9"/>
  <c r="R8" i="9"/>
  <c r="S8" i="9"/>
  <c r="H9" i="9"/>
  <c r="I9" i="9"/>
  <c r="J9" i="9"/>
  <c r="K9" i="9"/>
  <c r="L9" i="9"/>
  <c r="M9" i="9"/>
  <c r="N9" i="9"/>
  <c r="O9" i="9"/>
  <c r="P9" i="9"/>
  <c r="Q9" i="9"/>
  <c r="R9" i="9"/>
  <c r="S9" i="9"/>
  <c r="H10" i="9"/>
  <c r="I10" i="9"/>
  <c r="J10" i="9"/>
  <c r="K10" i="9"/>
  <c r="L10" i="9"/>
  <c r="M10" i="9"/>
  <c r="N10" i="9"/>
  <c r="O10" i="9"/>
  <c r="P10" i="9"/>
  <c r="Q10" i="9"/>
  <c r="R10" i="9"/>
  <c r="S10" i="9"/>
  <c r="H11" i="9"/>
  <c r="I11" i="9"/>
  <c r="J11" i="9"/>
  <c r="K11" i="9"/>
  <c r="L11" i="9"/>
  <c r="M11" i="9"/>
  <c r="N11" i="9"/>
  <c r="O11" i="9"/>
  <c r="P11" i="9"/>
  <c r="Q11" i="9"/>
  <c r="R11" i="9"/>
  <c r="S11" i="9"/>
  <c r="H12" i="9"/>
  <c r="I12" i="9"/>
  <c r="J12" i="9"/>
  <c r="K12" i="9"/>
  <c r="L12" i="9"/>
  <c r="M12" i="9"/>
  <c r="N12" i="9"/>
  <c r="O12" i="9"/>
  <c r="P12" i="9"/>
  <c r="Q12" i="9"/>
  <c r="R12" i="9"/>
  <c r="S12" i="9"/>
  <c r="F2" i="9"/>
  <c r="G2" i="9" s="1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H2" i="8"/>
  <c r="I2" i="8"/>
  <c r="J2" i="8"/>
  <c r="K2" i="8"/>
  <c r="L2" i="8"/>
  <c r="M2" i="8"/>
  <c r="N2" i="8"/>
  <c r="O2" i="8"/>
  <c r="P2" i="8"/>
  <c r="Q2" i="8"/>
  <c r="R2" i="8"/>
  <c r="S2" i="8"/>
  <c r="H3" i="8"/>
  <c r="I3" i="8"/>
  <c r="J3" i="8"/>
  <c r="K3" i="8"/>
  <c r="L3" i="8"/>
  <c r="M3" i="8"/>
  <c r="N3" i="8"/>
  <c r="O3" i="8"/>
  <c r="P3" i="8"/>
  <c r="Q3" i="8"/>
  <c r="R3" i="8"/>
  <c r="S3" i="8"/>
  <c r="H4" i="8"/>
  <c r="I4" i="8"/>
  <c r="J4" i="8"/>
  <c r="K4" i="8"/>
  <c r="L4" i="8"/>
  <c r="M4" i="8"/>
  <c r="N4" i="8"/>
  <c r="O4" i="8"/>
  <c r="P4" i="8"/>
  <c r="Q4" i="8"/>
  <c r="R4" i="8"/>
  <c r="S4" i="8"/>
  <c r="H5" i="8"/>
  <c r="I5" i="8"/>
  <c r="J5" i="8"/>
  <c r="K5" i="8"/>
  <c r="L5" i="8"/>
  <c r="M5" i="8"/>
  <c r="N5" i="8"/>
  <c r="O5" i="8"/>
  <c r="P5" i="8"/>
  <c r="Q5" i="8"/>
  <c r="R5" i="8"/>
  <c r="S5" i="8"/>
  <c r="H6" i="8"/>
  <c r="I6" i="8"/>
  <c r="J6" i="8"/>
  <c r="K6" i="8"/>
  <c r="L6" i="8"/>
  <c r="M6" i="8"/>
  <c r="N6" i="8"/>
  <c r="O6" i="8"/>
  <c r="P6" i="8"/>
  <c r="Q6" i="8"/>
  <c r="R6" i="8"/>
  <c r="S6" i="8"/>
  <c r="H7" i="8"/>
  <c r="I7" i="8"/>
  <c r="J7" i="8"/>
  <c r="K7" i="8"/>
  <c r="L7" i="8"/>
  <c r="M7" i="8"/>
  <c r="N7" i="8"/>
  <c r="O7" i="8"/>
  <c r="P7" i="8"/>
  <c r="Q7" i="8"/>
  <c r="R7" i="8"/>
  <c r="S7" i="8"/>
  <c r="H8" i="8"/>
  <c r="I8" i="8"/>
  <c r="J8" i="8"/>
  <c r="K8" i="8"/>
  <c r="L8" i="8"/>
  <c r="M8" i="8"/>
  <c r="N8" i="8"/>
  <c r="O8" i="8"/>
  <c r="P8" i="8"/>
  <c r="Q8" i="8"/>
  <c r="R8" i="8"/>
  <c r="S8" i="8"/>
  <c r="H9" i="8"/>
  <c r="I9" i="8"/>
  <c r="J9" i="8"/>
  <c r="K9" i="8"/>
  <c r="L9" i="8"/>
  <c r="M9" i="8"/>
  <c r="N9" i="8"/>
  <c r="O9" i="8"/>
  <c r="P9" i="8"/>
  <c r="Q9" i="8"/>
  <c r="R9" i="8"/>
  <c r="S9" i="8"/>
  <c r="H10" i="8"/>
  <c r="I10" i="8"/>
  <c r="J10" i="8"/>
  <c r="K10" i="8"/>
  <c r="L10" i="8"/>
  <c r="M10" i="8"/>
  <c r="N10" i="8"/>
  <c r="O10" i="8"/>
  <c r="P10" i="8"/>
  <c r="Q10" i="8"/>
  <c r="R10" i="8"/>
  <c r="S10" i="8"/>
  <c r="H11" i="8"/>
  <c r="I11" i="8"/>
  <c r="J11" i="8"/>
  <c r="K11" i="8"/>
  <c r="L11" i="8"/>
  <c r="M11" i="8"/>
  <c r="N11" i="8"/>
  <c r="O11" i="8"/>
  <c r="P11" i="8"/>
  <c r="Q11" i="8"/>
  <c r="R11" i="8"/>
  <c r="S11" i="8"/>
  <c r="H12" i="8"/>
  <c r="I12" i="8"/>
  <c r="J12" i="8"/>
  <c r="K12" i="8"/>
  <c r="L12" i="8"/>
  <c r="M12" i="8"/>
  <c r="N12" i="8"/>
  <c r="O12" i="8"/>
  <c r="P12" i="8"/>
  <c r="Q12" i="8"/>
  <c r="R12" i="8"/>
  <c r="S12" i="8"/>
  <c r="F2" i="8"/>
  <c r="G2" i="8" s="1"/>
  <c r="F3" i="8"/>
  <c r="G3" i="8" s="1"/>
  <c r="F4" i="8"/>
  <c r="G4" i="8" s="1"/>
  <c r="F5" i="8"/>
  <c r="G5" i="8" s="1"/>
  <c r="F6" i="8"/>
  <c r="G6" i="8" s="1"/>
  <c r="F7" i="8"/>
  <c r="G7" i="8" s="1"/>
  <c r="F8" i="8"/>
  <c r="G8" i="8" s="1"/>
  <c r="F9" i="8"/>
  <c r="G9" i="8" s="1"/>
  <c r="F10" i="8"/>
  <c r="G10" i="8" s="1"/>
  <c r="F11" i="8"/>
  <c r="G11" i="8" s="1"/>
  <c r="F12" i="8"/>
  <c r="G12" i="8" s="1"/>
  <c r="P1" i="5"/>
  <c r="N1" i="5"/>
  <c r="L1" i="5"/>
  <c r="J1" i="5"/>
  <c r="H1" i="5"/>
  <c r="P1" i="7"/>
  <c r="N1" i="7"/>
  <c r="L1" i="7"/>
  <c r="J1" i="7"/>
  <c r="H1" i="7"/>
  <c r="H2" i="6"/>
  <c r="I2" i="6"/>
  <c r="J2" i="6"/>
  <c r="K2" i="6"/>
  <c r="L2" i="6"/>
  <c r="M2" i="6"/>
  <c r="N2" i="6"/>
  <c r="O2" i="6"/>
  <c r="P2" i="6"/>
  <c r="Q2" i="6"/>
  <c r="R2" i="6"/>
  <c r="S2" i="6"/>
  <c r="H3" i="6"/>
  <c r="I3" i="6"/>
  <c r="J3" i="6"/>
  <c r="K3" i="6"/>
  <c r="L3" i="6"/>
  <c r="M3" i="6"/>
  <c r="N3" i="6"/>
  <c r="O3" i="6"/>
  <c r="P3" i="6"/>
  <c r="Q3" i="6"/>
  <c r="R3" i="6"/>
  <c r="S3" i="6"/>
  <c r="H4" i="6"/>
  <c r="I4" i="6"/>
  <c r="J4" i="6"/>
  <c r="K4" i="6"/>
  <c r="L4" i="6"/>
  <c r="M4" i="6"/>
  <c r="N4" i="6"/>
  <c r="O4" i="6"/>
  <c r="P4" i="6"/>
  <c r="Q4" i="6"/>
  <c r="R4" i="6"/>
  <c r="S4" i="6"/>
  <c r="H5" i="6"/>
  <c r="I5" i="6"/>
  <c r="J5" i="6"/>
  <c r="K5" i="6"/>
  <c r="L5" i="6"/>
  <c r="M5" i="6"/>
  <c r="N5" i="6"/>
  <c r="O5" i="6"/>
  <c r="P5" i="6"/>
  <c r="Q5" i="6"/>
  <c r="R5" i="6"/>
  <c r="S5" i="6"/>
  <c r="H6" i="6"/>
  <c r="I6" i="6"/>
  <c r="J6" i="6"/>
  <c r="K6" i="6"/>
  <c r="L6" i="6"/>
  <c r="M6" i="6"/>
  <c r="N6" i="6"/>
  <c r="O6" i="6"/>
  <c r="P6" i="6"/>
  <c r="Q6" i="6"/>
  <c r="R6" i="6"/>
  <c r="S6" i="6"/>
  <c r="H7" i="6"/>
  <c r="I7" i="6"/>
  <c r="J7" i="6"/>
  <c r="K7" i="6"/>
  <c r="L7" i="6"/>
  <c r="M7" i="6"/>
  <c r="N7" i="6"/>
  <c r="O7" i="6"/>
  <c r="P7" i="6"/>
  <c r="Q7" i="6"/>
  <c r="R7" i="6"/>
  <c r="S7" i="6"/>
  <c r="H8" i="6"/>
  <c r="I8" i="6"/>
  <c r="J8" i="6"/>
  <c r="K8" i="6"/>
  <c r="L8" i="6"/>
  <c r="M8" i="6"/>
  <c r="N8" i="6"/>
  <c r="O8" i="6"/>
  <c r="P8" i="6"/>
  <c r="Q8" i="6"/>
  <c r="R8" i="6"/>
  <c r="S8" i="6"/>
  <c r="H9" i="6"/>
  <c r="I9" i="6"/>
  <c r="J9" i="6"/>
  <c r="K9" i="6"/>
  <c r="L9" i="6"/>
  <c r="M9" i="6"/>
  <c r="N9" i="6"/>
  <c r="O9" i="6"/>
  <c r="P9" i="6"/>
  <c r="Q9" i="6"/>
  <c r="R9" i="6"/>
  <c r="S9" i="6"/>
  <c r="H10" i="6"/>
  <c r="I10" i="6"/>
  <c r="J10" i="6"/>
  <c r="K10" i="6"/>
  <c r="L10" i="6"/>
  <c r="M10" i="6"/>
  <c r="N10" i="6"/>
  <c r="O10" i="6"/>
  <c r="P10" i="6"/>
  <c r="Q10" i="6"/>
  <c r="R10" i="6"/>
  <c r="S10" i="6"/>
  <c r="H11" i="6"/>
  <c r="I11" i="6"/>
  <c r="J11" i="6"/>
  <c r="K11" i="6"/>
  <c r="L11" i="6"/>
  <c r="M11" i="6"/>
  <c r="N11" i="6"/>
  <c r="O11" i="6"/>
  <c r="P11" i="6"/>
  <c r="Q11" i="6"/>
  <c r="R11" i="6"/>
  <c r="S11" i="6"/>
  <c r="H12" i="6"/>
  <c r="I12" i="6"/>
  <c r="J12" i="6"/>
  <c r="K12" i="6"/>
  <c r="L12" i="6"/>
  <c r="M12" i="6"/>
  <c r="N12" i="6"/>
  <c r="O12" i="6"/>
  <c r="P12" i="6"/>
  <c r="Q12" i="6"/>
  <c r="R12" i="6"/>
  <c r="S12" i="6"/>
  <c r="H13" i="6"/>
  <c r="I13" i="6"/>
  <c r="J13" i="6"/>
  <c r="K13" i="6"/>
  <c r="L13" i="6"/>
  <c r="M13" i="6"/>
  <c r="N13" i="6"/>
  <c r="O13" i="6"/>
  <c r="P13" i="6"/>
  <c r="Q13" i="6"/>
  <c r="R13" i="6"/>
  <c r="S13" i="6"/>
  <c r="H14" i="6"/>
  <c r="I14" i="6"/>
  <c r="J14" i="6"/>
  <c r="K14" i="6"/>
  <c r="L14" i="6"/>
  <c r="M14" i="6"/>
  <c r="N14" i="6"/>
  <c r="O14" i="6"/>
  <c r="P14" i="6"/>
  <c r="Q14" i="6"/>
  <c r="R14" i="6"/>
  <c r="S14" i="6"/>
  <c r="H15" i="6"/>
  <c r="I15" i="6"/>
  <c r="J15" i="6"/>
  <c r="K15" i="6"/>
  <c r="L15" i="6"/>
  <c r="M15" i="6"/>
  <c r="N15" i="6"/>
  <c r="O15" i="6"/>
  <c r="P15" i="6"/>
  <c r="Q15" i="6"/>
  <c r="R15" i="6"/>
  <c r="S15" i="6"/>
  <c r="H16" i="6"/>
  <c r="I16" i="6"/>
  <c r="J16" i="6"/>
  <c r="K16" i="6"/>
  <c r="L16" i="6"/>
  <c r="M16" i="6"/>
  <c r="N16" i="6"/>
  <c r="O16" i="6"/>
  <c r="P16" i="6"/>
  <c r="Q16" i="6"/>
  <c r="R16" i="6"/>
  <c r="S16" i="6"/>
  <c r="H17" i="6"/>
  <c r="I17" i="6"/>
  <c r="J17" i="6"/>
  <c r="K17" i="6"/>
  <c r="L17" i="6"/>
  <c r="M17" i="6"/>
  <c r="N17" i="6"/>
  <c r="O17" i="6"/>
  <c r="P17" i="6"/>
  <c r="Q17" i="6"/>
  <c r="R17" i="6"/>
  <c r="S17" i="6"/>
  <c r="H18" i="6"/>
  <c r="I18" i="6"/>
  <c r="J18" i="6"/>
  <c r="K18" i="6"/>
  <c r="L18" i="6"/>
  <c r="M18" i="6"/>
  <c r="N18" i="6"/>
  <c r="O18" i="6"/>
  <c r="P18" i="6"/>
  <c r="Q18" i="6"/>
  <c r="R18" i="6"/>
  <c r="S18" i="6"/>
  <c r="H19" i="6"/>
  <c r="I19" i="6"/>
  <c r="J19" i="6"/>
  <c r="K19" i="6"/>
  <c r="L19" i="6"/>
  <c r="M19" i="6"/>
  <c r="N19" i="6"/>
  <c r="O19" i="6"/>
  <c r="P19" i="6"/>
  <c r="Q19" i="6"/>
  <c r="R19" i="6"/>
  <c r="S19" i="6"/>
  <c r="H20" i="6"/>
  <c r="I20" i="6"/>
  <c r="J20" i="6"/>
  <c r="K20" i="6"/>
  <c r="L20" i="6"/>
  <c r="M20" i="6"/>
  <c r="N20" i="6"/>
  <c r="O20" i="6"/>
  <c r="P20" i="6"/>
  <c r="Q20" i="6"/>
  <c r="R20" i="6"/>
  <c r="S20" i="6"/>
  <c r="H21" i="6"/>
  <c r="I21" i="6"/>
  <c r="J21" i="6"/>
  <c r="K21" i="6"/>
  <c r="L21" i="6"/>
  <c r="M21" i="6"/>
  <c r="N21" i="6"/>
  <c r="O21" i="6"/>
  <c r="P21" i="6"/>
  <c r="Q21" i="6"/>
  <c r="R21" i="6"/>
  <c r="S21" i="6"/>
  <c r="H22" i="6"/>
  <c r="I22" i="6"/>
  <c r="J22" i="6"/>
  <c r="K22" i="6"/>
  <c r="L22" i="6"/>
  <c r="M22" i="6"/>
  <c r="N22" i="6"/>
  <c r="O22" i="6"/>
  <c r="P22" i="6"/>
  <c r="Q22" i="6"/>
  <c r="R22" i="6"/>
  <c r="S22" i="6"/>
  <c r="H23" i="6"/>
  <c r="I23" i="6"/>
  <c r="J23" i="6"/>
  <c r="K23" i="6"/>
  <c r="L23" i="6"/>
  <c r="M23" i="6"/>
  <c r="N23" i="6"/>
  <c r="O23" i="6"/>
  <c r="P23" i="6"/>
  <c r="Q23" i="6"/>
  <c r="R23" i="6"/>
  <c r="S23" i="6"/>
  <c r="H24" i="6"/>
  <c r="I24" i="6"/>
  <c r="J24" i="6"/>
  <c r="K24" i="6"/>
  <c r="L24" i="6"/>
  <c r="M24" i="6"/>
  <c r="N24" i="6"/>
  <c r="O24" i="6"/>
  <c r="P24" i="6"/>
  <c r="Q24" i="6"/>
  <c r="R24" i="6"/>
  <c r="S24" i="6"/>
  <c r="H25" i="6"/>
  <c r="I25" i="6"/>
  <c r="J25" i="6"/>
  <c r="K25" i="6"/>
  <c r="L25" i="6"/>
  <c r="M25" i="6"/>
  <c r="N25" i="6"/>
  <c r="O25" i="6"/>
  <c r="P25" i="6"/>
  <c r="Q25" i="6"/>
  <c r="R25" i="6"/>
  <c r="S25" i="6"/>
  <c r="H26" i="6"/>
  <c r="I26" i="6"/>
  <c r="J26" i="6"/>
  <c r="K26" i="6"/>
  <c r="L26" i="6"/>
  <c r="M26" i="6"/>
  <c r="N26" i="6"/>
  <c r="O26" i="6"/>
  <c r="P26" i="6"/>
  <c r="Q26" i="6"/>
  <c r="R26" i="6"/>
  <c r="S26" i="6"/>
  <c r="H27" i="6"/>
  <c r="I27" i="6"/>
  <c r="J27" i="6"/>
  <c r="K27" i="6"/>
  <c r="L27" i="6"/>
  <c r="M27" i="6"/>
  <c r="N27" i="6"/>
  <c r="O27" i="6"/>
  <c r="P27" i="6"/>
  <c r="Q27" i="6"/>
  <c r="R27" i="6"/>
  <c r="S27" i="6"/>
  <c r="H28" i="6"/>
  <c r="I28" i="6"/>
  <c r="J28" i="6"/>
  <c r="K28" i="6"/>
  <c r="L28" i="6"/>
  <c r="M28" i="6"/>
  <c r="N28" i="6"/>
  <c r="O28" i="6"/>
  <c r="P28" i="6"/>
  <c r="Q28" i="6"/>
  <c r="R28" i="6"/>
  <c r="S28" i="6"/>
  <c r="H29" i="6"/>
  <c r="I29" i="6"/>
  <c r="J29" i="6"/>
  <c r="K29" i="6"/>
  <c r="L29" i="6"/>
  <c r="M29" i="6"/>
  <c r="N29" i="6"/>
  <c r="O29" i="6"/>
  <c r="P29" i="6"/>
  <c r="Q29" i="6"/>
  <c r="R29" i="6"/>
  <c r="S29" i="6"/>
  <c r="H30" i="6"/>
  <c r="I30" i="6"/>
  <c r="J30" i="6"/>
  <c r="K30" i="6"/>
  <c r="L30" i="6"/>
  <c r="M30" i="6"/>
  <c r="N30" i="6"/>
  <c r="O30" i="6"/>
  <c r="P30" i="6"/>
  <c r="Q30" i="6"/>
  <c r="R30" i="6"/>
  <c r="S30" i="6"/>
  <c r="H31" i="6"/>
  <c r="I31" i="6"/>
  <c r="J31" i="6"/>
  <c r="K31" i="6"/>
  <c r="L31" i="6"/>
  <c r="M31" i="6"/>
  <c r="N31" i="6"/>
  <c r="O31" i="6"/>
  <c r="P31" i="6"/>
  <c r="Q31" i="6"/>
  <c r="R31" i="6"/>
  <c r="S31" i="6"/>
  <c r="H32" i="6"/>
  <c r="I32" i="6"/>
  <c r="J32" i="6"/>
  <c r="K32" i="6"/>
  <c r="L32" i="6"/>
  <c r="M32" i="6"/>
  <c r="N32" i="6"/>
  <c r="O32" i="6"/>
  <c r="P32" i="6"/>
  <c r="Q32" i="6"/>
  <c r="R32" i="6"/>
  <c r="S32" i="6"/>
  <c r="H33" i="6"/>
  <c r="I33" i="6"/>
  <c r="J33" i="6"/>
  <c r="K33" i="6"/>
  <c r="L33" i="6"/>
  <c r="M33" i="6"/>
  <c r="N33" i="6"/>
  <c r="O33" i="6"/>
  <c r="P33" i="6"/>
  <c r="Q33" i="6"/>
  <c r="R33" i="6"/>
  <c r="S33" i="6"/>
  <c r="H34" i="6"/>
  <c r="I34" i="6"/>
  <c r="J34" i="6"/>
  <c r="K34" i="6"/>
  <c r="L34" i="6"/>
  <c r="M34" i="6"/>
  <c r="N34" i="6"/>
  <c r="O34" i="6"/>
  <c r="P34" i="6"/>
  <c r="Q34" i="6"/>
  <c r="R34" i="6"/>
  <c r="S34" i="6"/>
  <c r="H35" i="6"/>
  <c r="I35" i="6"/>
  <c r="J35" i="6"/>
  <c r="K35" i="6"/>
  <c r="L35" i="6"/>
  <c r="M35" i="6"/>
  <c r="N35" i="6"/>
  <c r="O35" i="6"/>
  <c r="P35" i="6"/>
  <c r="Q35" i="6"/>
  <c r="R35" i="6"/>
  <c r="S35" i="6"/>
  <c r="G2" i="6"/>
  <c r="G5" i="6"/>
  <c r="G6" i="6"/>
  <c r="G8" i="6"/>
  <c r="G9" i="6"/>
  <c r="G10" i="6"/>
  <c r="G11" i="6"/>
  <c r="G14" i="6"/>
  <c r="G17" i="6"/>
  <c r="G18" i="6"/>
  <c r="G20" i="6"/>
  <c r="G21" i="6"/>
  <c r="G22" i="6"/>
  <c r="G23" i="6"/>
  <c r="G26" i="6"/>
  <c r="G29" i="6"/>
  <c r="G30" i="6"/>
  <c r="G32" i="6"/>
  <c r="G33" i="6"/>
  <c r="G34" i="6"/>
  <c r="G35" i="6"/>
  <c r="F2" i="6"/>
  <c r="F3" i="6"/>
  <c r="G3" i="6" s="1"/>
  <c r="F4" i="6"/>
  <c r="G4" i="6" s="1"/>
  <c r="F5" i="6"/>
  <c r="F6" i="6"/>
  <c r="F7" i="6"/>
  <c r="G7" i="6" s="1"/>
  <c r="F8" i="6"/>
  <c r="F9" i="6"/>
  <c r="F10" i="6"/>
  <c r="F11" i="6"/>
  <c r="F12" i="6"/>
  <c r="G12" i="6" s="1"/>
  <c r="F13" i="6"/>
  <c r="G13" i="6" s="1"/>
  <c r="F14" i="6"/>
  <c r="F15" i="6"/>
  <c r="G15" i="6" s="1"/>
  <c r="F16" i="6"/>
  <c r="G16" i="6" s="1"/>
  <c r="F17" i="6"/>
  <c r="F18" i="6"/>
  <c r="F19" i="6"/>
  <c r="G19" i="6" s="1"/>
  <c r="F20" i="6"/>
  <c r="F21" i="6"/>
  <c r="F22" i="6"/>
  <c r="F23" i="6"/>
  <c r="F24" i="6"/>
  <c r="G24" i="6" s="1"/>
  <c r="F25" i="6"/>
  <c r="G25" i="6" s="1"/>
  <c r="F26" i="6"/>
  <c r="F27" i="6"/>
  <c r="G27" i="6" s="1"/>
  <c r="F28" i="6"/>
  <c r="G28" i="6" s="1"/>
  <c r="F29" i="6"/>
  <c r="F30" i="6"/>
  <c r="F31" i="6"/>
  <c r="G31" i="6" s="1"/>
  <c r="F32" i="6"/>
  <c r="F33" i="6"/>
  <c r="F34" i="6"/>
  <c r="F35" i="6"/>
  <c r="U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H2" i="4"/>
  <c r="I2" i="4"/>
  <c r="J2" i="4"/>
  <c r="K2" i="4"/>
  <c r="L2" i="4"/>
  <c r="M2" i="4"/>
  <c r="N2" i="4"/>
  <c r="O2" i="4"/>
  <c r="P2" i="4"/>
  <c r="Q2" i="4"/>
  <c r="R2" i="4"/>
  <c r="S2" i="4"/>
  <c r="H3" i="4"/>
  <c r="I3" i="4"/>
  <c r="J3" i="4"/>
  <c r="K3" i="4"/>
  <c r="L3" i="4"/>
  <c r="M3" i="4"/>
  <c r="N3" i="4"/>
  <c r="O3" i="4"/>
  <c r="P3" i="4"/>
  <c r="Q3" i="4"/>
  <c r="R3" i="4"/>
  <c r="S3" i="4"/>
  <c r="H4" i="4"/>
  <c r="I4" i="4"/>
  <c r="J4" i="4"/>
  <c r="K4" i="4"/>
  <c r="L4" i="4"/>
  <c r="M4" i="4"/>
  <c r="N4" i="4"/>
  <c r="O4" i="4"/>
  <c r="P4" i="4"/>
  <c r="Q4" i="4"/>
  <c r="R4" i="4"/>
  <c r="S4" i="4"/>
  <c r="H5" i="4"/>
  <c r="I5" i="4"/>
  <c r="J5" i="4"/>
  <c r="K5" i="4"/>
  <c r="L5" i="4"/>
  <c r="M5" i="4"/>
  <c r="N5" i="4"/>
  <c r="O5" i="4"/>
  <c r="P5" i="4"/>
  <c r="Q5" i="4"/>
  <c r="R5" i="4"/>
  <c r="S5" i="4"/>
  <c r="H6" i="4"/>
  <c r="I6" i="4"/>
  <c r="J6" i="4"/>
  <c r="K6" i="4"/>
  <c r="L6" i="4"/>
  <c r="M6" i="4"/>
  <c r="N6" i="4"/>
  <c r="O6" i="4"/>
  <c r="P6" i="4"/>
  <c r="Q6" i="4"/>
  <c r="R6" i="4"/>
  <c r="S6" i="4"/>
  <c r="H7" i="4"/>
  <c r="I7" i="4"/>
  <c r="J7" i="4"/>
  <c r="K7" i="4"/>
  <c r="L7" i="4"/>
  <c r="M7" i="4"/>
  <c r="N7" i="4"/>
  <c r="O7" i="4"/>
  <c r="P7" i="4"/>
  <c r="Q7" i="4"/>
  <c r="R7" i="4"/>
  <c r="S7" i="4"/>
  <c r="H8" i="4"/>
  <c r="I8" i="4"/>
  <c r="J8" i="4"/>
  <c r="K8" i="4"/>
  <c r="L8" i="4"/>
  <c r="M8" i="4"/>
  <c r="N8" i="4"/>
  <c r="O8" i="4"/>
  <c r="P8" i="4"/>
  <c r="Q8" i="4"/>
  <c r="R8" i="4"/>
  <c r="S8" i="4"/>
  <c r="H9" i="4"/>
  <c r="I9" i="4"/>
  <c r="J9" i="4"/>
  <c r="K9" i="4"/>
  <c r="L9" i="4"/>
  <c r="M9" i="4"/>
  <c r="N9" i="4"/>
  <c r="O9" i="4"/>
  <c r="P9" i="4"/>
  <c r="Q9" i="4"/>
  <c r="R9" i="4"/>
  <c r="S9" i="4"/>
  <c r="H10" i="4"/>
  <c r="I10" i="4"/>
  <c r="J10" i="4"/>
  <c r="K10" i="4"/>
  <c r="L10" i="4"/>
  <c r="M10" i="4"/>
  <c r="N10" i="4"/>
  <c r="O10" i="4"/>
  <c r="P10" i="4"/>
  <c r="Q10" i="4"/>
  <c r="R10" i="4"/>
  <c r="S10" i="4"/>
  <c r="H11" i="4"/>
  <c r="I11" i="4"/>
  <c r="J11" i="4"/>
  <c r="K11" i="4"/>
  <c r="L11" i="4"/>
  <c r="M11" i="4"/>
  <c r="N11" i="4"/>
  <c r="O11" i="4"/>
  <c r="P11" i="4"/>
  <c r="Q11" i="4"/>
  <c r="R11" i="4"/>
  <c r="S11" i="4"/>
  <c r="H12" i="4"/>
  <c r="I12" i="4"/>
  <c r="J12" i="4"/>
  <c r="K12" i="4"/>
  <c r="L12" i="4"/>
  <c r="M12" i="4"/>
  <c r="N12" i="4"/>
  <c r="O12" i="4"/>
  <c r="P12" i="4"/>
  <c r="Q12" i="4"/>
  <c r="R12" i="4"/>
  <c r="S12" i="4"/>
  <c r="H13" i="4"/>
  <c r="I13" i="4"/>
  <c r="J13" i="4"/>
  <c r="K13" i="4"/>
  <c r="L13" i="4"/>
  <c r="M13" i="4"/>
  <c r="N13" i="4"/>
  <c r="O13" i="4"/>
  <c r="P13" i="4"/>
  <c r="Q13" i="4"/>
  <c r="R13" i="4"/>
  <c r="S13" i="4"/>
  <c r="H14" i="4"/>
  <c r="I14" i="4"/>
  <c r="J14" i="4"/>
  <c r="K14" i="4"/>
  <c r="L14" i="4"/>
  <c r="M14" i="4"/>
  <c r="N14" i="4"/>
  <c r="O14" i="4"/>
  <c r="P14" i="4"/>
  <c r="Q14" i="4"/>
  <c r="R14" i="4"/>
  <c r="S14" i="4"/>
  <c r="H15" i="4"/>
  <c r="I15" i="4"/>
  <c r="J15" i="4"/>
  <c r="K15" i="4"/>
  <c r="L15" i="4"/>
  <c r="M15" i="4"/>
  <c r="N15" i="4"/>
  <c r="O15" i="4"/>
  <c r="P15" i="4"/>
  <c r="Q15" i="4"/>
  <c r="R15" i="4"/>
  <c r="S15" i="4"/>
  <c r="H16" i="4"/>
  <c r="I16" i="4"/>
  <c r="J16" i="4"/>
  <c r="K16" i="4"/>
  <c r="L16" i="4"/>
  <c r="M16" i="4"/>
  <c r="N16" i="4"/>
  <c r="O16" i="4"/>
  <c r="P16" i="4"/>
  <c r="Q16" i="4"/>
  <c r="R16" i="4"/>
  <c r="S16" i="4"/>
  <c r="H17" i="4"/>
  <c r="I17" i="4"/>
  <c r="J17" i="4"/>
  <c r="K17" i="4"/>
  <c r="L17" i="4"/>
  <c r="M17" i="4"/>
  <c r="N17" i="4"/>
  <c r="O17" i="4"/>
  <c r="P17" i="4"/>
  <c r="Q17" i="4"/>
  <c r="R17" i="4"/>
  <c r="S17" i="4"/>
  <c r="H18" i="4"/>
  <c r="I18" i="4"/>
  <c r="J18" i="4"/>
  <c r="K18" i="4"/>
  <c r="L18" i="4"/>
  <c r="M18" i="4"/>
  <c r="N18" i="4"/>
  <c r="O18" i="4"/>
  <c r="P18" i="4"/>
  <c r="Q18" i="4"/>
  <c r="R18" i="4"/>
  <c r="S18" i="4"/>
  <c r="H19" i="4"/>
  <c r="I19" i="4"/>
  <c r="J19" i="4"/>
  <c r="K19" i="4"/>
  <c r="L19" i="4"/>
  <c r="M19" i="4"/>
  <c r="N19" i="4"/>
  <c r="O19" i="4"/>
  <c r="P19" i="4"/>
  <c r="Q19" i="4"/>
  <c r="R19" i="4"/>
  <c r="S19" i="4"/>
  <c r="H20" i="4"/>
  <c r="I20" i="4"/>
  <c r="J20" i="4"/>
  <c r="K20" i="4"/>
  <c r="L20" i="4"/>
  <c r="M20" i="4"/>
  <c r="N20" i="4"/>
  <c r="O20" i="4"/>
  <c r="P20" i="4"/>
  <c r="Q20" i="4"/>
  <c r="R20" i="4"/>
  <c r="S20" i="4"/>
  <c r="H21" i="4"/>
  <c r="I21" i="4"/>
  <c r="J21" i="4"/>
  <c r="K21" i="4"/>
  <c r="L21" i="4"/>
  <c r="M21" i="4"/>
  <c r="N21" i="4"/>
  <c r="O21" i="4"/>
  <c r="P21" i="4"/>
  <c r="Q21" i="4"/>
  <c r="R21" i="4"/>
  <c r="S21" i="4"/>
  <c r="H22" i="4"/>
  <c r="I22" i="4"/>
  <c r="J22" i="4"/>
  <c r="K22" i="4"/>
  <c r="L22" i="4"/>
  <c r="M22" i="4"/>
  <c r="N22" i="4"/>
  <c r="O22" i="4"/>
  <c r="P22" i="4"/>
  <c r="Q22" i="4"/>
  <c r="R22" i="4"/>
  <c r="S22" i="4"/>
  <c r="H23" i="4"/>
  <c r="I23" i="4"/>
  <c r="J23" i="4"/>
  <c r="K23" i="4"/>
  <c r="L23" i="4"/>
  <c r="M23" i="4"/>
  <c r="N23" i="4"/>
  <c r="O23" i="4"/>
  <c r="P23" i="4"/>
  <c r="Q23" i="4"/>
  <c r="R23" i="4"/>
  <c r="S23" i="4"/>
  <c r="H24" i="4"/>
  <c r="I24" i="4"/>
  <c r="J24" i="4"/>
  <c r="K24" i="4"/>
  <c r="L24" i="4"/>
  <c r="M24" i="4"/>
  <c r="N24" i="4"/>
  <c r="O24" i="4"/>
  <c r="P24" i="4"/>
  <c r="Q24" i="4"/>
  <c r="R24" i="4"/>
  <c r="S24" i="4"/>
  <c r="H25" i="4"/>
  <c r="I25" i="4"/>
  <c r="J25" i="4"/>
  <c r="K25" i="4"/>
  <c r="L25" i="4"/>
  <c r="M25" i="4"/>
  <c r="N25" i="4"/>
  <c r="O25" i="4"/>
  <c r="P25" i="4"/>
  <c r="Q25" i="4"/>
  <c r="R25" i="4"/>
  <c r="S25" i="4"/>
  <c r="H26" i="4"/>
  <c r="I26" i="4"/>
  <c r="J26" i="4"/>
  <c r="K26" i="4"/>
  <c r="L26" i="4"/>
  <c r="M26" i="4"/>
  <c r="N26" i="4"/>
  <c r="O26" i="4"/>
  <c r="P26" i="4"/>
  <c r="Q26" i="4"/>
  <c r="R26" i="4"/>
  <c r="S26" i="4"/>
  <c r="H27" i="4"/>
  <c r="I27" i="4"/>
  <c r="J27" i="4"/>
  <c r="K27" i="4"/>
  <c r="L27" i="4"/>
  <c r="M27" i="4"/>
  <c r="N27" i="4"/>
  <c r="O27" i="4"/>
  <c r="P27" i="4"/>
  <c r="Q27" i="4"/>
  <c r="R27" i="4"/>
  <c r="S27" i="4"/>
  <c r="H28" i="4"/>
  <c r="I28" i="4"/>
  <c r="J28" i="4"/>
  <c r="K28" i="4"/>
  <c r="L28" i="4"/>
  <c r="M28" i="4"/>
  <c r="N28" i="4"/>
  <c r="O28" i="4"/>
  <c r="P28" i="4"/>
  <c r="Q28" i="4"/>
  <c r="R28" i="4"/>
  <c r="S28" i="4"/>
  <c r="H29" i="4"/>
  <c r="I29" i="4"/>
  <c r="J29" i="4"/>
  <c r="K29" i="4"/>
  <c r="L29" i="4"/>
  <c r="M29" i="4"/>
  <c r="N29" i="4"/>
  <c r="O29" i="4"/>
  <c r="P29" i="4"/>
  <c r="Q29" i="4"/>
  <c r="R29" i="4"/>
  <c r="S29" i="4"/>
  <c r="H30" i="4"/>
  <c r="I30" i="4"/>
  <c r="J30" i="4"/>
  <c r="K30" i="4"/>
  <c r="L30" i="4"/>
  <c r="M30" i="4"/>
  <c r="N30" i="4"/>
  <c r="O30" i="4"/>
  <c r="P30" i="4"/>
  <c r="Q30" i="4"/>
  <c r="R30" i="4"/>
  <c r="S30" i="4"/>
  <c r="H31" i="4"/>
  <c r="I31" i="4"/>
  <c r="J31" i="4"/>
  <c r="K31" i="4"/>
  <c r="L31" i="4"/>
  <c r="M31" i="4"/>
  <c r="N31" i="4"/>
  <c r="O31" i="4"/>
  <c r="P31" i="4"/>
  <c r="Q31" i="4"/>
  <c r="R31" i="4"/>
  <c r="S31" i="4"/>
  <c r="H32" i="4"/>
  <c r="I32" i="4"/>
  <c r="J32" i="4"/>
  <c r="K32" i="4"/>
  <c r="L32" i="4"/>
  <c r="M32" i="4"/>
  <c r="N32" i="4"/>
  <c r="O32" i="4"/>
  <c r="P32" i="4"/>
  <c r="Q32" i="4"/>
  <c r="R32" i="4"/>
  <c r="S32" i="4"/>
  <c r="H33" i="4"/>
  <c r="I33" i="4"/>
  <c r="J33" i="4"/>
  <c r="K33" i="4"/>
  <c r="L33" i="4"/>
  <c r="M33" i="4"/>
  <c r="N33" i="4"/>
  <c r="O33" i="4"/>
  <c r="P33" i="4"/>
  <c r="Q33" i="4"/>
  <c r="R33" i="4"/>
  <c r="S33" i="4"/>
  <c r="H34" i="4"/>
  <c r="I34" i="4"/>
  <c r="J34" i="4"/>
  <c r="K34" i="4"/>
  <c r="L34" i="4"/>
  <c r="M34" i="4"/>
  <c r="N34" i="4"/>
  <c r="O34" i="4"/>
  <c r="P34" i="4"/>
  <c r="Q34" i="4"/>
  <c r="R34" i="4"/>
  <c r="S34" i="4"/>
  <c r="H35" i="4"/>
  <c r="I35" i="4"/>
  <c r="J35" i="4"/>
  <c r="K35" i="4"/>
  <c r="L35" i="4"/>
  <c r="M35" i="4"/>
  <c r="N35" i="4"/>
  <c r="O35" i="4"/>
  <c r="P35" i="4"/>
  <c r="Q35" i="4"/>
  <c r="R35" i="4"/>
  <c r="S35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P1" i="3"/>
  <c r="N1" i="3"/>
  <c r="L1" i="3"/>
  <c r="J1" i="3"/>
  <c r="H1" i="3"/>
</calcChain>
</file>

<file path=xl/sharedStrings.xml><?xml version="1.0" encoding="utf-8"?>
<sst xmlns="http://schemas.openxmlformats.org/spreadsheetml/2006/main" count="2335" uniqueCount="243">
  <si>
    <t>68.000 ha</t>
  </si>
  <si>
    <t>38.000 ha</t>
  </si>
  <si>
    <t>14.000 ha</t>
  </si>
  <si>
    <t>72.000 ha</t>
  </si>
  <si>
    <t>39.000 ha</t>
  </si>
  <si>
    <t>46.000 ha</t>
  </si>
  <si>
    <t>32.000 ha</t>
  </si>
  <si>
    <t>4.000 ha</t>
  </si>
  <si>
    <t>112.000 ha</t>
  </si>
  <si>
    <t>28.000 ha</t>
  </si>
  <si>
    <t>138.000 ha</t>
  </si>
  <si>
    <t>115.000 ha</t>
  </si>
  <si>
    <t>48.000 ha</t>
  </si>
  <si>
    <t>52.000 ha</t>
  </si>
  <si>
    <t>49.000 ha</t>
  </si>
  <si>
    <t>62.000 ha</t>
  </si>
  <si>
    <t>22.000 ha</t>
  </si>
  <si>
    <t>54.000 ha</t>
  </si>
  <si>
    <t>78.000 ha</t>
  </si>
  <si>
    <t>124.000 ha</t>
  </si>
  <si>
    <t>64.000 ha</t>
  </si>
  <si>
    <t>34.000 ha</t>
  </si>
  <si>
    <t>42.000 ha</t>
  </si>
  <si>
    <t>26.000 ha</t>
  </si>
  <si>
    <t>Territory</t>
  </si>
  <si>
    <t>Sub-Territory / Kabupaten</t>
  </si>
  <si>
    <t>District / Sentra Utama</t>
  </si>
  <si>
    <t>Total Luas Padi (Ha)</t>
  </si>
  <si>
    <t>Est. % Luas Serangan</t>
  </si>
  <si>
    <t>Est. % Keparahan (Rata-rata)</t>
  </si>
  <si>
    <t>Risiko</t>
  </si>
  <si>
    <t>Jan</t>
  </si>
  <si>
    <t>Feb (MT1)</t>
  </si>
  <si>
    <t>Mar</t>
  </si>
  <si>
    <t>Apr</t>
  </si>
  <si>
    <t>Mei</t>
  </si>
  <si>
    <t>Jun (MT2)</t>
  </si>
  <si>
    <t>Jul</t>
  </si>
  <si>
    <t>Agu (MT3)</t>
  </si>
  <si>
    <t>Sep</t>
  </si>
  <si>
    <t>Okt</t>
  </si>
  <si>
    <t>Nov</t>
  </si>
  <si>
    <t>Des</t>
  </si>
  <si>
    <t>Brebes</t>
  </si>
  <si>
    <t>Wanasari, Larangan, Jatibarang</t>
  </si>
  <si>
    <t>Sedang</t>
  </si>
  <si>
    <t>Tegal</t>
  </si>
  <si>
    <t>Adiwerna, Kramat, Suradadi</t>
  </si>
  <si>
    <t>Purbalingga</t>
  </si>
  <si>
    <t>Kemangkon, Kejobong, Bukateja</t>
  </si>
  <si>
    <t>Rendah</t>
  </si>
  <si>
    <t>Pekalongan</t>
  </si>
  <si>
    <t>Pemalang</t>
  </si>
  <si>
    <t>Petarukan, Ampelgading, Comal</t>
  </si>
  <si>
    <t>Sragi, Tirto, Buaran</t>
  </si>
  <si>
    <t>Batang</t>
  </si>
  <si>
    <t>Tulis, Kandeman, Bawang</t>
  </si>
  <si>
    <t>Kendal</t>
  </si>
  <si>
    <t>Cepiring, Kangkung, Rowosari</t>
  </si>
  <si>
    <t>Semarang</t>
  </si>
  <si>
    <t>Ambarawa, Bringin, Tengaran</t>
  </si>
  <si>
    <t>Salatiga</t>
  </si>
  <si>
    <t>Sidorejo, Argomulyo</t>
  </si>
  <si>
    <t>Demak</t>
  </si>
  <si>
    <t>Dempet, Gajah, Karanganyar</t>
  </si>
  <si>
    <t>Tinggi</t>
  </si>
  <si>
    <t>Kudus</t>
  </si>
  <si>
    <t>Undaan, Mejobo, Jati</t>
  </si>
  <si>
    <t>Grobogan</t>
  </si>
  <si>
    <t>Godong, Purwodadi, Gabus</t>
  </si>
  <si>
    <t>Solo</t>
  </si>
  <si>
    <t>Sragen</t>
  </si>
  <si>
    <t>Masaran, Sidoharjo, Tanon</t>
  </si>
  <si>
    <t>Karanganyar</t>
  </si>
  <si>
    <t>Mojogedang, Kebakkramat</t>
  </si>
  <si>
    <t>Sukoharjo</t>
  </si>
  <si>
    <t>Polokarto, Mojolaban, Bendosari</t>
  </si>
  <si>
    <t>Klaten</t>
  </si>
  <si>
    <t>Delanggu, Ceper, Polanharjo</t>
  </si>
  <si>
    <t>Boyolali</t>
  </si>
  <si>
    <t>Banyudono, Sawit, Ngemplak</t>
  </si>
  <si>
    <t>Wonogiri</t>
  </si>
  <si>
    <t>Selogiri, Wonogiri</t>
  </si>
  <si>
    <t>Kebumen</t>
  </si>
  <si>
    <t>Gunung Kidul</t>
  </si>
  <si>
    <t>Wonosari, Semin, Ponjong</t>
  </si>
  <si>
    <t>Bantul</t>
  </si>
  <si>
    <t>Imogiri, Jetis, Bambanglipuro</t>
  </si>
  <si>
    <t>Sleman</t>
  </si>
  <si>
    <t>Kalasan, Berbah, Prambanan</t>
  </si>
  <si>
    <t>Kulonprogo</t>
  </si>
  <si>
    <t>Wates, Panjatan, Temon</t>
  </si>
  <si>
    <t>Purworejo</t>
  </si>
  <si>
    <t>Pituruh, Grabag, Purwodadi</t>
  </si>
  <si>
    <t>Kutowinangun, Ambal, Mirit</t>
  </si>
  <si>
    <t>Cilacap</t>
  </si>
  <si>
    <t>Kroya, Maos, Kesugihan</t>
  </si>
  <si>
    <t>Banyumas</t>
  </si>
  <si>
    <t>Rawalo, Jatilawang, Sumbang</t>
  </si>
  <si>
    <t>Wonosobo</t>
  </si>
  <si>
    <t>Banjarnegara</t>
  </si>
  <si>
    <t>Purwanegara, Mandiraja</t>
  </si>
  <si>
    <t>Kertek, Selomerto, Leksono</t>
  </si>
  <si>
    <t>Magelang</t>
  </si>
  <si>
    <t>Muntilan, Mungkid, Salam</t>
  </si>
  <si>
    <t>Temanggung</t>
  </si>
  <si>
    <t>Parakan, Bulu, Temanggung</t>
  </si>
  <si>
    <t>Persentase 1</t>
  </si>
  <si>
    <t>Persentase 2</t>
  </si>
  <si>
    <t>Persentase 3</t>
  </si>
  <si>
    <t>Persentase 4</t>
  </si>
  <si>
    <t>Persentase 5</t>
  </si>
  <si>
    <t>Brofreya 53SC</t>
  </si>
  <si>
    <t>Virtako 300SC</t>
  </si>
  <si>
    <t>Prevathon 50SC</t>
  </si>
  <si>
    <t>Simodis 100DC</t>
  </si>
  <si>
    <t>Incipio 200SC</t>
  </si>
  <si>
    <t>Spontan 400SL</t>
  </si>
  <si>
    <t>Vayego 200SC</t>
  </si>
  <si>
    <t>Belt Expert</t>
  </si>
  <si>
    <t>Regent 50SC</t>
  </si>
  <si>
    <t>Abamektin</t>
  </si>
  <si>
    <t>Pati</t>
  </si>
  <si>
    <t>Sukolilo, Kayen, Pucakwangi</t>
  </si>
  <si>
    <t>Rembang</t>
  </si>
  <si>
    <t>Kaliori, Sumber, Sale</t>
  </si>
  <si>
    <t>Jepara</t>
  </si>
  <si>
    <t>Keling, Nalumsari, Bangsri</t>
  </si>
  <si>
    <t>Blora</t>
  </si>
  <si>
    <t>Kunduran, Kedungtuban, Ngawen</t>
  </si>
  <si>
    <t>Est. % Tebasan</t>
  </si>
  <si>
    <t>Est. % Timbangan</t>
  </si>
  <si>
    <t>Filia 525 SE</t>
  </si>
  <si>
    <t>Nativo 75 WG</t>
  </si>
  <si>
    <t>Amistar Top 325 SC</t>
  </si>
  <si>
    <t>Beam 75 WP</t>
  </si>
  <si>
    <t>Fujiwan 400 EC</t>
  </si>
  <si>
    <t>Wanasari, Larangan, Bulakamba</t>
  </si>
  <si>
    <t>Kramat, Suradadi, Warureja</t>
  </si>
  <si>
    <t>Bukateja, Kemangkon, Kejobong</t>
  </si>
  <si>
    <t>Petarukan, Ujami, Ampelgading</t>
  </si>
  <si>
    <t>Sragi, Kesesi, Bojong</t>
  </si>
  <si>
    <t>Bawang, Tersono, Gringsing</t>
  </si>
  <si>
    <t>Cepiring, Weleri, Ringinarum</t>
  </si>
  <si>
    <t>Bringin, Suruh, Bancak</t>
  </si>
  <si>
    <t>Argomulyo, Tingkir</t>
  </si>
  <si>
    <t>Gajah, Dempet, Mijen</t>
  </si>
  <si>
    <t>Undaan, Mejobo, Jekulo</t>
  </si>
  <si>
    <t>Penawangan, Klambu, Godong</t>
  </si>
  <si>
    <t>Sidoharjo, Tanon, Masaran</t>
  </si>
  <si>
    <t>Jumantono, Mojogedang, Jatipuro</t>
  </si>
  <si>
    <t>Polokarto, Bendosari, Weru</t>
  </si>
  <si>
    <t>Wedi, Cawas, Bayat</t>
  </si>
  <si>
    <t>Selo, Cepogo, Ampel</t>
  </si>
  <si>
    <t>Eromoko, Pracimantoro, Wuryantoro</t>
  </si>
  <si>
    <t>Semin, Ponjong, Wonosari</t>
  </si>
  <si>
    <t>Sanden, Kretek, Imogiri</t>
  </si>
  <si>
    <t>Prambanan, Kalasan, Berbah</t>
  </si>
  <si>
    <t>Panjatan, Galur, Lendah</t>
  </si>
  <si>
    <t>Grabag, Ngombol, Purwodadi</t>
  </si>
  <si>
    <t>Mirit, Ambal, Buluspesantren</t>
  </si>
  <si>
    <t>Kroya, Adipala, Maos</t>
  </si>
  <si>
    <t>Sumbang, Kembaran, Sokaraja</t>
  </si>
  <si>
    <t>Batur, Pejawaran, Wanayasa</t>
  </si>
  <si>
    <t>Kejajar, Garung, Kertek</t>
  </si>
  <si>
    <t>Pakis, Ngablak, Grabag</t>
  </si>
  <si>
    <t>Parakan, Bulu, Kledung</t>
  </si>
  <si>
    <t>Batangan, Jaken, Jakenan</t>
  </si>
  <si>
    <t>Kaliori, Sumber, Sulang</t>
  </si>
  <si>
    <t>Nalumsari, Mayong, Welahan</t>
  </si>
  <si>
    <t>Kunduran, Ngawen, Todanan</t>
  </si>
  <si>
    <t>District / Sentra Utama Bawang Merah</t>
  </si>
  <si>
    <t>Total Luas Bawang Merah (Ha)</t>
  </si>
  <si>
    <t>Est. % Luas Serangan Ulat</t>
  </si>
  <si>
    <t>Est. % Keparahan Ulat (Rata-rata)</t>
  </si>
  <si>
    <t>Feb</t>
  </si>
  <si>
    <t>Jun</t>
  </si>
  <si>
    <t>Agu</t>
  </si>
  <si>
    <t>Brofreya 53 SC</t>
  </si>
  <si>
    <t>Simodis 100 DC</t>
  </si>
  <si>
    <t>Siklon 5.7 WG</t>
  </si>
  <si>
    <t>Match 50 EC</t>
  </si>
  <si>
    <t>Proclaim 5 SG</t>
  </si>
  <si>
    <t>Oblivion 300 SC</t>
  </si>
  <si>
    <t>Cimegra 100 SC</t>
  </si>
  <si>
    <t>DKLufem 50 WG</t>
  </si>
  <si>
    <t>DKFenzo 120 SC</t>
  </si>
  <si>
    <t>Prima-FAW 50 EC</t>
  </si>
  <si>
    <t>Heksa 50 SC</t>
  </si>
  <si>
    <t>District / Sentra Utama Kentang</t>
  </si>
  <si>
    <t>Total Luas Kentang (Ha)</t>
  </si>
  <si>
    <t>Est. % Luas Serangan Busuk Daun</t>
  </si>
  <si>
    <t>Est. % Keparahan Busuk Daun (Rata-rata)</t>
  </si>
  <si>
    <t>Karangreja, Kutasari, Bobotsari</t>
  </si>
  <si>
    <t>Pulosari, Moga, Belik</t>
  </si>
  <si>
    <t>Petungkriyono, Lebakbarang, Paninggaran</t>
  </si>
  <si>
    <t>Bawang, Blado, Reban</t>
  </si>
  <si>
    <t>Getasan, Sumowono, Bandungan</t>
  </si>
  <si>
    <t>Ngablak, Pakis, Grabag</t>
  </si>
  <si>
    <t>Est. % Luas Serangan Bercak Kering</t>
  </si>
  <si>
    <t>Est. % Keparahan Bercak Kering (Rata-rata)</t>
  </si>
  <si>
    <t>Est. % Luas Serangan Busuk Umbi</t>
  </si>
  <si>
    <t>Est. % Keparahan Busuk Umbi (Rata-rata)</t>
  </si>
  <si>
    <t>Est. % Luas Serangan Layu Bakteri</t>
  </si>
  <si>
    <t>Est. % Keparahan Layu Bakteri (Rata-rata)</t>
  </si>
  <si>
    <t>Sirampog, Paguyangan</t>
  </si>
  <si>
    <t>Bumijawa, Bojong</t>
  </si>
  <si>
    <t>Batur, Pejawaran, Wanayasa, Kalibening</t>
  </si>
  <si>
    <t>Kejajar, Garung, Kalikajar, Mojotengah, Kepil, Sapuran</t>
  </si>
  <si>
    <t>Wonoboyo, Tretep, Kledung, Candiroto</t>
  </si>
  <si>
    <t>District / Sentra Utama Cabai</t>
  </si>
  <si>
    <t>Total Luas Cabai (Ha)</t>
  </si>
  <si>
    <t>Est. % Luas Serangan Kutu-kutuan</t>
  </si>
  <si>
    <t>Est. % Keparahan Kutu-kutuan (Rata-rata)</t>
  </si>
  <si>
    <t>Larangan, Wanasari, Bulakamba, Ketanggungan</t>
  </si>
  <si>
    <t>Punggelan, Banjarmangu, Pejawaran, Wanayasa</t>
  </si>
  <si>
    <t>Kalikajar, Garung, Watumalang, Kejajar</t>
  </si>
  <si>
    <t>Pakis, Dukun, Sawangan, Grabag</t>
  </si>
  <si>
    <t>Todanan, Kunduran, Japah, Ngawen</t>
  </si>
  <si>
    <t>Sedan, Sale, Sarang, Sumber</t>
  </si>
  <si>
    <t>Guntur, Dempet, Mranggen, Karangawen</t>
  </si>
  <si>
    <t>Getasan, Bandungan, Sumowono, Bringin</t>
  </si>
  <si>
    <t>Kledung, Bulu, Tlogomulyo, Selopampang</t>
  </si>
  <si>
    <t>Est. % Luas Serangan Tungau</t>
  </si>
  <si>
    <t>Est. % Keparahan Tungau (Rata-rata)</t>
  </si>
  <si>
    <t>Est. % Luas Serangan Thrips</t>
  </si>
  <si>
    <t>Est. % Keparahan Thrips (Rata-rata)</t>
  </si>
  <si>
    <t>Est. % Luas Serangan Ulat Buah</t>
  </si>
  <si>
    <t>Est. % Keparahan Ulat Buah (Rata-rata)</t>
  </si>
  <si>
    <t>Est. % Luas Serangan Ulat Daun</t>
  </si>
  <si>
    <t>Est. % Keparahan Ulat Daun (Rata-rata)</t>
  </si>
  <si>
    <t>Est. % Luas Serangan Patek (Antraknosa)</t>
  </si>
  <si>
    <t>Est. % Keparahan Patek (Rata-rata)</t>
  </si>
  <si>
    <t>Pegasus 500 SC</t>
  </si>
  <si>
    <t>Alika 247 ZC</t>
  </si>
  <si>
    <t>Pro 100 SL</t>
  </si>
  <si>
    <t>Acero 40/4 WP</t>
  </si>
  <si>
    <t>Wiper 50 EC</t>
  </si>
  <si>
    <t>Agrimec 18 EC</t>
  </si>
  <si>
    <t>Numectin 20 EC</t>
  </si>
  <si>
    <t>Abamax 18 EC</t>
  </si>
  <si>
    <t>Valacor 35 WG</t>
  </si>
  <si>
    <t>Emaktin 32 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</si>
</sst>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\ &quot;ha&quot;"/>
  </numFmts>
  <fonts count="7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1F1F1F"/>
      <name val="Google Sans"/>
    </font>
    <font>
      <sz val="11"/>
      <color rgb="FF1F1F1F"/>
      <name val="Google Sans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Google Sans"/>
    </font>
  </fonts>
  <fills count="5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C6EFCE"/>
        <bgColor indexed="64"/>
      </patternFill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9" fontId="0" fillId="0" borderId="0" xfId="0" applyNumberFormat="1"/>
    <xf numFmtId="9" fontId="3" fillId="0" borderId="2" xfId="0" applyNumberFormat="1" applyFont="1" applyBorder="1" applyAlignment="1">
      <alignment horizontal="left" vertical="center" wrapText="1" indent="1"/>
    </xf>
    <xf numFmtId="9" fontId="3" fillId="0" borderId="1" xfId="0" applyNumberFormat="1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3" fontId="3" fillId="0" borderId="1" xfId="0" applyNumberFormat="1" applyFont="1" applyBorder="1" applyAlignment="1">
      <alignment horizontal="left" vertical="center" wrapText="1" indent="1"/>
    </xf>
    <xf numFmtId="3" fontId="3" fillId="0" borderId="2" xfId="0" applyNumberFormat="1" applyFont="1" applyBorder="1" applyAlignment="1">
      <alignment horizontal="left" vertical="center" wrapText="1" indent="1"/>
    </xf>
    <xf numFmtId="0" fontId="4" fillId="3" borderId="0" xfId="0" applyFont="1" applyFill="1" applyAlignment="1">
      <alignment horizont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1" fillId="4" borderId="0" xfId="0" applyFont="1" applyFill="1"/>
    <xf numFmtId="0" fontId="5" fillId="0" borderId="0" xfId="0" applyFont="1"/>
    <xf numFmtId="165" fontId="0" fillId="0" borderId="0" xfId="0" applyNumberFormat="1"/>
    <xf numFmtId="164" fontId="3" fillId="0" borderId="1" xfId="0" applyNumberFormat="1" applyFont="1" applyBorder="1" applyAlignment="1">
      <alignment horizontal="left" vertical="center" wrapText="1" indent="1"/>
    </xf>
    <xf numFmtId="164" fontId="3" fillId="0" borderId="2" xfId="0" applyNumberFormat="1" applyFont="1" applyBorder="1" applyAlignment="1">
      <alignment horizontal="left" vertical="center" wrapText="1" indent="1"/>
    </xf>
    <xf numFmtId="3" fontId="0" fillId="0" borderId="0" xfId="0" applyNumberFormat="1"/>
    <xf numFmtId="0" fontId="6" fillId="3" borderId="0" xfId="0" applyFont="1" applyFill="1" applyAlignment="1">
      <alignment horizontal="center" vertical="center" wrapText="1" indent="1"/>
    </xf>
  </cellXfs>
  <cellStyles count="1">
    <cellStyle name="Normal" xfId="0" builtinId="0"/>
  </cellStyles>
  <dxfs count="57">
    <dxf>
      <font>
        <color rgb="FF000000"/>
      </font>
      <fill>
        <patternFill patternType="solid">
          <fgColor indexed="64"/>
          <bgColor rgb="FFFFFFFF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63BE7B"/>
        </patternFill>
      </fill>
    </dxf>
    <dxf>
      <font>
        <color rgb="FF000000"/>
      </font>
      <fill>
        <patternFill patternType="solid">
          <fgColor indexed="64"/>
          <bgColor rgb="FFFFFFFF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63BE7B"/>
        </patternFill>
      </fill>
    </dxf>
    <dxf>
      <font>
        <color rgb="FF000000"/>
      </font>
      <fill>
        <patternFill patternType="solid">
          <fgColor indexed="64"/>
          <bgColor rgb="FFFFFFFF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63BE7B"/>
        </patternFill>
      </fill>
    </dxf>
    <dxf>
      <font>
        <color rgb="FF000000"/>
      </font>
      <fill>
        <patternFill patternType="solid">
          <fgColor indexed="64"/>
          <bgColor rgb="FFFFFFFF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63BE7B"/>
        </patternFill>
      </fill>
    </dxf>
    <dxf>
      <font>
        <color rgb="FF000000"/>
      </font>
      <fill>
        <patternFill patternType="solid">
          <fgColor indexed="64"/>
          <bgColor rgb="FFFFFFFF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63BE7B"/>
        </patternFill>
      </fill>
    </dxf>
    <dxf>
      <font>
        <color rgb="FF000000"/>
      </font>
      <fill>
        <patternFill patternType="solid">
          <fgColor indexed="64"/>
          <bgColor rgb="FFFFFFFF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63BE7B"/>
        </patternFill>
      </fill>
    </dxf>
    <dxf>
      <font>
        <color rgb="FF000000"/>
      </font>
      <fill>
        <patternFill patternType="solid">
          <fgColor indexed="64"/>
          <bgColor rgb="FFFFFFFF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63BE7B"/>
        </patternFill>
      </fill>
    </dxf>
    <dxf>
      <font>
        <color rgb="FF000000"/>
      </font>
      <fill>
        <patternFill patternType="solid">
          <fgColor indexed="64"/>
          <bgColor rgb="FFFFFFFF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63BE7B"/>
        </patternFill>
      </fill>
    </dxf>
    <dxf>
      <font>
        <color rgb="FF000000"/>
      </font>
      <fill>
        <patternFill patternType="solid">
          <fgColor indexed="64"/>
          <bgColor rgb="FFFFFFFF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63BE7B"/>
        </patternFill>
      </fill>
    </dxf>
    <dxf>
      <font>
        <color rgb="FF000000"/>
      </font>
      <fill>
        <patternFill patternType="solid">
          <fgColor indexed="64"/>
          <bgColor rgb="FFFFFFFF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63BE7B"/>
        </patternFill>
      </fill>
    </dxf>
    <dxf>
      <font>
        <color rgb="FF000000"/>
      </font>
      <fill>
        <patternFill patternType="solid">
          <fgColor indexed="64"/>
          <bgColor rgb="FFFFFFFF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63BE7B"/>
        </patternFill>
      </fill>
    </dxf>
    <dxf>
      <font>
        <color rgb="FF000000"/>
      </font>
      <fill>
        <patternFill patternType="solid">
          <fgColor indexed="64"/>
          <bgColor rgb="FFFFFFFF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63BE7B"/>
        </patternFill>
      </fill>
    </dxf>
    <dxf>
      <font>
        <color rgb="FF000000"/>
      </font>
      <fill>
        <patternFill patternType="solid">
          <fgColor indexed="64"/>
          <bgColor rgb="FFFFFFFF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63BE7B"/>
        </patternFill>
      </fill>
    </dxf>
    <dxf>
      <font>
        <color rgb="FF000000"/>
      </font>
      <fill>
        <patternFill patternType="solid">
          <fgColor indexed="64"/>
          <bgColor rgb="FFFFFFFF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63BE7B"/>
        </patternFill>
      </fill>
    </dxf>
    <dxf>
      <font>
        <color rgb="FF000000"/>
      </font>
      <fill>
        <patternFill patternType="solid">
          <fgColor indexed="64"/>
          <bgColor rgb="FFFFFFFF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63BE7B"/>
        </patternFill>
      </fill>
    </dxf>
    <dxf>
      <font>
        <color rgb="FF000000"/>
      </font>
      <fill>
        <patternFill patternType="solid">
          <fgColor indexed="64"/>
          <bgColor rgb="FFFFFFFF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63BE7B"/>
        </patternFill>
      </fill>
    </dxf>
    <dxf>
      <font>
        <color rgb="FF000000"/>
      </font>
      <fill>
        <patternFill patternType="solid">
          <fgColor indexed="64"/>
          <bgColor rgb="FFFFFFFF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63BE7B"/>
        </patternFill>
      </fill>
    </dxf>
    <dxf>
      <font>
        <color rgb="FF000000"/>
      </font>
      <fill>
        <patternFill patternType="solid">
          <fgColor indexed="64"/>
          <bgColor rgb="FFFFFFFF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63BE7B"/>
        </patternFill>
      </fill>
    </dxf>
    <dxf>
      <font>
        <color rgb="FF000000"/>
      </font>
      <fill>
        <patternFill patternType="solid">
          <fgColor indexed="64"/>
          <bgColor rgb="FFFFFFFF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63BE7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EBFE7-3D26-4BA2-8D07-4EA4CCFB1D43}">
  <dimension ref="A1:S35"/>
  <sheetViews>
    <sheetView workbookViewId="0">
      <selection activeCell="E5" sqref="E5"/>
    </sheetView>
  </sheetViews>
  <sheetFormatPr defaultRowHeight="14.5"/>
  <cols>
    <col min="1" max="1" width="12.90625" bestFit="1" customWidth="1"/>
    <col min="2" max="2" width="14.7265625" bestFit="1" customWidth="1"/>
    <col min="3" max="3" width="34.54296875" customWidth="1"/>
    <col min="4" max="4" width="11.7265625" bestFit="1" customWidth="1"/>
    <col min="5" max="5" width="12.90625" bestFit="1" customWidth="1"/>
    <col min="6" max="6" width="12" bestFit="1" customWidth="1"/>
    <col min="7" max="7" width="9.08984375" bestFit="1" customWidth="1"/>
    <col min="8" max="8" width="5.90625" bestFit="1" customWidth="1"/>
    <col min="9" max="9" width="11.1796875" bestFit="1" customWidth="1"/>
    <col min="10" max="12" width="5.90625" bestFit="1" customWidth="1"/>
    <col min="13" max="13" width="11.1796875" bestFit="1" customWidth="1"/>
    <col min="14" max="14" width="5.90625" bestFit="1" customWidth="1"/>
    <col min="15" max="15" width="11.453125" bestFit="1" customWidth="1"/>
    <col min="16" max="16" width="5.90625" bestFit="1" customWidth="1"/>
    <col min="17" max="17" width="5.1796875" bestFit="1" customWidth="1"/>
    <col min="18" max="18" width="5.7265625" bestFit="1" customWidth="1"/>
    <col min="19" max="19" width="5.90625" bestFit="1" customWidth="1"/>
  </cols>
  <sheetData>
    <row r="1" spans="1:19" ht="42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</row>
    <row r="2" spans="1:19" ht="14.5" customHeight="1" thickBot="1">
      <c r="A2" s="2" t="s">
        <v>43</v>
      </c>
      <c r="B2" s="2" t="s">
        <v>43</v>
      </c>
      <c r="C2" s="8" t="s">
        <v>44</v>
      </c>
      <c r="D2" s="9">
        <v>68000</v>
      </c>
      <c r="E2" s="5">
        <v>0.14499999999999999</v>
      </c>
      <c r="F2" s="5">
        <v>0.24</v>
      </c>
      <c r="G2" s="2" t="s">
        <v>45</v>
      </c>
      <c r="H2" s="5">
        <v>0.1</v>
      </c>
      <c r="I2" s="5">
        <v>0.24</v>
      </c>
      <c r="J2" s="5">
        <v>0.12</v>
      </c>
      <c r="K2" s="5">
        <v>0.06</v>
      </c>
      <c r="L2" s="5">
        <v>0.15</v>
      </c>
      <c r="M2" s="5">
        <v>0.27</v>
      </c>
      <c r="N2" s="5">
        <v>0.13</v>
      </c>
      <c r="O2" s="5">
        <v>0.18</v>
      </c>
      <c r="P2" s="5">
        <v>0.11</v>
      </c>
      <c r="Q2" s="5">
        <v>0.04</v>
      </c>
      <c r="R2" s="5">
        <v>0.05</v>
      </c>
      <c r="S2" s="5">
        <v>0.08</v>
      </c>
    </row>
    <row r="3" spans="1:19" ht="14.5" customHeight="1" thickBot="1">
      <c r="A3" s="6" t="s">
        <v>43</v>
      </c>
      <c r="B3" s="6" t="s">
        <v>46</v>
      </c>
      <c r="C3" s="7" t="s">
        <v>47</v>
      </c>
      <c r="D3" s="10">
        <v>38000</v>
      </c>
      <c r="E3" s="4">
        <v>0.11</v>
      </c>
      <c r="F3" s="4">
        <v>0.17499999999999999</v>
      </c>
      <c r="G3" s="6" t="s">
        <v>45</v>
      </c>
      <c r="H3" s="4">
        <v>7.0000000000000007E-2</v>
      </c>
      <c r="I3" s="4">
        <v>0.18</v>
      </c>
      <c r="J3" s="4">
        <v>0.09</v>
      </c>
      <c r="K3" s="4">
        <v>0.04</v>
      </c>
      <c r="L3" s="4">
        <v>0.11</v>
      </c>
      <c r="M3" s="4">
        <v>0.2</v>
      </c>
      <c r="N3" s="4">
        <v>0.1</v>
      </c>
      <c r="O3" s="4">
        <v>0.13</v>
      </c>
      <c r="P3" s="4">
        <v>0.08</v>
      </c>
      <c r="Q3" s="4">
        <v>0.03</v>
      </c>
      <c r="R3" s="4">
        <v>0.04</v>
      </c>
      <c r="S3" s="4">
        <v>0.06</v>
      </c>
    </row>
    <row r="4" spans="1:19" ht="14.5" customHeight="1" thickBot="1">
      <c r="A4" s="6" t="s">
        <v>43</v>
      </c>
      <c r="B4" s="6" t="s">
        <v>48</v>
      </c>
      <c r="C4" s="7" t="s">
        <v>49</v>
      </c>
      <c r="D4" s="10">
        <v>14000</v>
      </c>
      <c r="E4" s="4">
        <v>0.05</v>
      </c>
      <c r="F4" s="4">
        <v>7.0000000000000007E-2</v>
      </c>
      <c r="G4" s="6" t="s">
        <v>50</v>
      </c>
      <c r="H4" s="4">
        <v>0.03</v>
      </c>
      <c r="I4" s="4">
        <v>7.0000000000000007E-2</v>
      </c>
      <c r="J4" s="4">
        <v>0.04</v>
      </c>
      <c r="K4" s="4">
        <v>0.02</v>
      </c>
      <c r="L4" s="4">
        <v>0.05</v>
      </c>
      <c r="M4" s="4">
        <v>0.08</v>
      </c>
      <c r="N4" s="4">
        <v>0.04</v>
      </c>
      <c r="O4" s="4">
        <v>0.05</v>
      </c>
      <c r="P4" s="4">
        <v>0.03</v>
      </c>
      <c r="Q4" s="4">
        <v>0.01</v>
      </c>
      <c r="R4" s="4">
        <v>0.02</v>
      </c>
      <c r="S4" s="4">
        <v>0.03</v>
      </c>
    </row>
    <row r="5" spans="1:19" ht="14.5" customHeight="1" thickBot="1">
      <c r="A5" s="6" t="s">
        <v>51</v>
      </c>
      <c r="B5" s="6" t="s">
        <v>52</v>
      </c>
      <c r="C5" s="7" t="s">
        <v>53</v>
      </c>
      <c r="D5" s="10">
        <v>72000</v>
      </c>
      <c r="E5" s="4">
        <v>0.13</v>
      </c>
      <c r="F5" s="4">
        <v>0.21</v>
      </c>
      <c r="G5" s="6" t="s">
        <v>45</v>
      </c>
      <c r="H5" s="4">
        <v>0.09</v>
      </c>
      <c r="I5" s="4">
        <v>0.21</v>
      </c>
      <c r="J5" s="4">
        <v>0.11</v>
      </c>
      <c r="K5" s="4">
        <v>0.05</v>
      </c>
      <c r="L5" s="4">
        <v>0.13</v>
      </c>
      <c r="M5" s="4">
        <v>0.24</v>
      </c>
      <c r="N5" s="4">
        <v>0.12</v>
      </c>
      <c r="O5" s="4">
        <v>0.16</v>
      </c>
      <c r="P5" s="4">
        <v>0.1</v>
      </c>
      <c r="Q5" s="4">
        <v>0.03</v>
      </c>
      <c r="R5" s="4">
        <v>0.05</v>
      </c>
      <c r="S5" s="4">
        <v>7.0000000000000007E-2</v>
      </c>
    </row>
    <row r="6" spans="1:19" ht="14.5" customHeight="1" thickBot="1">
      <c r="A6" s="6" t="s">
        <v>51</v>
      </c>
      <c r="B6" s="6" t="s">
        <v>51</v>
      </c>
      <c r="C6" s="7" t="s">
        <v>54</v>
      </c>
      <c r="D6" s="10">
        <v>38000</v>
      </c>
      <c r="E6" s="4">
        <v>0.1</v>
      </c>
      <c r="F6" s="4">
        <v>0.15</v>
      </c>
      <c r="G6" s="6" t="s">
        <v>45</v>
      </c>
      <c r="H6" s="4">
        <v>0.06</v>
      </c>
      <c r="I6" s="4">
        <v>0.15</v>
      </c>
      <c r="J6" s="4">
        <v>0.08</v>
      </c>
      <c r="K6" s="4">
        <v>0.04</v>
      </c>
      <c r="L6" s="4">
        <v>0.09</v>
      </c>
      <c r="M6" s="4">
        <v>0.17</v>
      </c>
      <c r="N6" s="4">
        <v>0.08</v>
      </c>
      <c r="O6" s="4">
        <v>0.11</v>
      </c>
      <c r="P6" s="4">
        <v>7.0000000000000007E-2</v>
      </c>
      <c r="Q6" s="4">
        <v>0.02</v>
      </c>
      <c r="R6" s="4">
        <v>0.03</v>
      </c>
      <c r="S6" s="4">
        <v>0.05</v>
      </c>
    </row>
    <row r="7" spans="1:19" ht="14.5" customHeight="1" thickBot="1">
      <c r="A7" s="6" t="s">
        <v>51</v>
      </c>
      <c r="B7" s="6" t="s">
        <v>55</v>
      </c>
      <c r="C7" s="7" t="s">
        <v>56</v>
      </c>
      <c r="D7" s="10">
        <v>39000</v>
      </c>
      <c r="E7" s="4">
        <v>0.09</v>
      </c>
      <c r="F7" s="4">
        <v>0.14000000000000001</v>
      </c>
      <c r="G7" s="6" t="s">
        <v>45</v>
      </c>
      <c r="H7" s="4">
        <v>0.06</v>
      </c>
      <c r="I7" s="4">
        <v>0.14000000000000001</v>
      </c>
      <c r="J7" s="4">
        <v>7.0000000000000007E-2</v>
      </c>
      <c r="K7" s="4">
        <v>0.03</v>
      </c>
      <c r="L7" s="4">
        <v>0.09</v>
      </c>
      <c r="M7" s="4">
        <v>0.16</v>
      </c>
      <c r="N7" s="4">
        <v>0.08</v>
      </c>
      <c r="O7" s="4">
        <v>0.1</v>
      </c>
      <c r="P7" s="4">
        <v>0.06</v>
      </c>
      <c r="Q7" s="4">
        <v>0.02</v>
      </c>
      <c r="R7" s="4">
        <v>0.03</v>
      </c>
      <c r="S7" s="4">
        <v>0.05</v>
      </c>
    </row>
    <row r="8" spans="1:19" ht="14.5" customHeight="1" thickBot="1">
      <c r="A8" s="6" t="s">
        <v>51</v>
      </c>
      <c r="B8" s="6" t="s">
        <v>57</v>
      </c>
      <c r="C8" s="7" t="s">
        <v>58</v>
      </c>
      <c r="D8" s="10">
        <v>46000</v>
      </c>
      <c r="E8" s="4">
        <v>0.12</v>
      </c>
      <c r="F8" s="4">
        <v>0.19500000000000001</v>
      </c>
      <c r="G8" s="6" t="s">
        <v>45</v>
      </c>
      <c r="H8" s="4">
        <v>0.08</v>
      </c>
      <c r="I8" s="4">
        <v>0.19</v>
      </c>
      <c r="J8" s="4">
        <v>0.1</v>
      </c>
      <c r="K8" s="4">
        <v>0.05</v>
      </c>
      <c r="L8" s="4">
        <v>0.12</v>
      </c>
      <c r="M8" s="4">
        <v>0.22</v>
      </c>
      <c r="N8" s="4">
        <v>0.11</v>
      </c>
      <c r="O8" s="4">
        <v>0.15</v>
      </c>
      <c r="P8" s="4">
        <v>0.09</v>
      </c>
      <c r="Q8" s="4">
        <v>0.03</v>
      </c>
      <c r="R8" s="4">
        <v>0.04</v>
      </c>
      <c r="S8" s="4">
        <v>0.06</v>
      </c>
    </row>
    <row r="9" spans="1:19" ht="14.5" customHeight="1" thickBot="1">
      <c r="A9" s="6" t="s">
        <v>59</v>
      </c>
      <c r="B9" s="6" t="s">
        <v>59</v>
      </c>
      <c r="C9" s="7" t="s">
        <v>60</v>
      </c>
      <c r="D9" s="10">
        <v>32000</v>
      </c>
      <c r="E9" s="4">
        <v>7.0000000000000007E-2</v>
      </c>
      <c r="F9" s="4">
        <v>0.105</v>
      </c>
      <c r="G9" s="6" t="s">
        <v>50</v>
      </c>
      <c r="H9" s="4">
        <v>0.04</v>
      </c>
      <c r="I9" s="4">
        <v>0.1</v>
      </c>
      <c r="J9" s="4">
        <v>0.05</v>
      </c>
      <c r="K9" s="4">
        <v>0.03</v>
      </c>
      <c r="L9" s="4">
        <v>7.0000000000000007E-2</v>
      </c>
      <c r="M9" s="4">
        <v>0.12</v>
      </c>
      <c r="N9" s="4">
        <v>0.06</v>
      </c>
      <c r="O9" s="4">
        <v>0.08</v>
      </c>
      <c r="P9" s="4">
        <v>0.05</v>
      </c>
      <c r="Q9" s="4">
        <v>0.02</v>
      </c>
      <c r="R9" s="4">
        <v>0.02</v>
      </c>
      <c r="S9" s="4">
        <v>0.04</v>
      </c>
    </row>
    <row r="10" spans="1:19" ht="14.5" customHeight="1" thickBot="1">
      <c r="A10" s="6" t="s">
        <v>59</v>
      </c>
      <c r="B10" s="6" t="s">
        <v>61</v>
      </c>
      <c r="C10" s="7" t="s">
        <v>62</v>
      </c>
      <c r="D10" s="10">
        <v>4000</v>
      </c>
      <c r="E10" s="4">
        <v>0.04</v>
      </c>
      <c r="F10" s="4">
        <v>0.05</v>
      </c>
      <c r="G10" s="6" t="s">
        <v>50</v>
      </c>
      <c r="H10" s="4">
        <v>0.02</v>
      </c>
      <c r="I10" s="4">
        <v>0.05</v>
      </c>
      <c r="J10" s="4">
        <v>0.03</v>
      </c>
      <c r="K10" s="4">
        <v>0.01</v>
      </c>
      <c r="L10" s="4">
        <v>0.03</v>
      </c>
      <c r="M10" s="4">
        <v>0.06</v>
      </c>
      <c r="N10" s="4">
        <v>0.03</v>
      </c>
      <c r="O10" s="4">
        <v>0.04</v>
      </c>
      <c r="P10" s="4">
        <v>0.02</v>
      </c>
      <c r="Q10" s="4">
        <v>0.01</v>
      </c>
      <c r="R10" s="4">
        <v>0.01</v>
      </c>
      <c r="S10" s="4">
        <v>0.02</v>
      </c>
    </row>
    <row r="11" spans="1:19" ht="14.5" customHeight="1" thickBot="1">
      <c r="A11" s="6" t="s">
        <v>59</v>
      </c>
      <c r="B11" s="6" t="s">
        <v>63</v>
      </c>
      <c r="C11" s="7" t="s">
        <v>64</v>
      </c>
      <c r="D11" s="10">
        <v>112000</v>
      </c>
      <c r="E11" s="4">
        <v>0.19</v>
      </c>
      <c r="F11" s="4">
        <v>0.35</v>
      </c>
      <c r="G11" s="6" t="s">
        <v>65</v>
      </c>
      <c r="H11" s="4">
        <v>0.15</v>
      </c>
      <c r="I11" s="4">
        <v>0.35</v>
      </c>
      <c r="J11" s="4">
        <v>0.18</v>
      </c>
      <c r="K11" s="4">
        <v>0.1</v>
      </c>
      <c r="L11" s="4">
        <v>0.23</v>
      </c>
      <c r="M11" s="4">
        <v>0.4</v>
      </c>
      <c r="N11" s="4">
        <v>0.2</v>
      </c>
      <c r="O11" s="4">
        <v>0.27</v>
      </c>
      <c r="P11" s="4">
        <v>0.17</v>
      </c>
      <c r="Q11" s="4">
        <v>0.06</v>
      </c>
      <c r="R11" s="4">
        <v>0.08</v>
      </c>
      <c r="S11" s="4">
        <v>0.12</v>
      </c>
    </row>
    <row r="12" spans="1:19" ht="14.5" customHeight="1" thickBot="1">
      <c r="A12" s="6" t="s">
        <v>59</v>
      </c>
      <c r="B12" s="6" t="s">
        <v>66</v>
      </c>
      <c r="C12" s="7" t="s">
        <v>67</v>
      </c>
      <c r="D12" s="10">
        <v>28000</v>
      </c>
      <c r="E12" s="4">
        <v>0.125</v>
      </c>
      <c r="F12" s="4">
        <v>0.2</v>
      </c>
      <c r="G12" s="6" t="s">
        <v>45</v>
      </c>
      <c r="H12" s="4">
        <v>0.08</v>
      </c>
      <c r="I12" s="4">
        <v>0.2</v>
      </c>
      <c r="J12" s="4">
        <v>0.1</v>
      </c>
      <c r="K12" s="4">
        <v>0.05</v>
      </c>
      <c r="L12" s="4">
        <v>0.13</v>
      </c>
      <c r="M12" s="4">
        <v>0.23</v>
      </c>
      <c r="N12" s="4">
        <v>0.11</v>
      </c>
      <c r="O12" s="4">
        <v>0.15</v>
      </c>
      <c r="P12" s="4">
        <v>0.09</v>
      </c>
      <c r="Q12" s="4">
        <v>0.03</v>
      </c>
      <c r="R12" s="4">
        <v>0.04</v>
      </c>
      <c r="S12" s="4">
        <v>7.0000000000000007E-2</v>
      </c>
    </row>
    <row r="13" spans="1:19" ht="14.5" customHeight="1" thickBot="1">
      <c r="A13" s="6" t="s">
        <v>59</v>
      </c>
      <c r="B13" s="6" t="s">
        <v>68</v>
      </c>
      <c r="C13" s="7" t="s">
        <v>69</v>
      </c>
      <c r="D13" s="10">
        <v>138000</v>
      </c>
      <c r="E13" s="4">
        <v>0.185</v>
      </c>
      <c r="F13" s="4">
        <v>0.32</v>
      </c>
      <c r="G13" s="6" t="s">
        <v>65</v>
      </c>
      <c r="H13" s="4">
        <v>0.14000000000000001</v>
      </c>
      <c r="I13" s="4">
        <v>0.32</v>
      </c>
      <c r="J13" s="4">
        <v>0.17</v>
      </c>
      <c r="K13" s="4">
        <v>0.09</v>
      </c>
      <c r="L13" s="4">
        <v>0.21</v>
      </c>
      <c r="M13" s="4">
        <v>0.37</v>
      </c>
      <c r="N13" s="4">
        <v>0.18</v>
      </c>
      <c r="O13" s="4">
        <v>0.25</v>
      </c>
      <c r="P13" s="4">
        <v>0.15</v>
      </c>
      <c r="Q13" s="4">
        <v>0.05</v>
      </c>
      <c r="R13" s="4">
        <v>7.0000000000000007E-2</v>
      </c>
      <c r="S13" s="4">
        <v>0.11</v>
      </c>
    </row>
    <row r="14" spans="1:19" ht="14.5" customHeight="1" thickBot="1">
      <c r="A14" s="6" t="s">
        <v>70</v>
      </c>
      <c r="B14" s="6" t="s">
        <v>71</v>
      </c>
      <c r="C14" s="7" t="s">
        <v>72</v>
      </c>
      <c r="D14" s="10">
        <v>115000</v>
      </c>
      <c r="E14" s="4">
        <v>0.16500000000000001</v>
      </c>
      <c r="F14" s="4">
        <v>0.27</v>
      </c>
      <c r="G14" s="6" t="s">
        <v>65</v>
      </c>
      <c r="H14" s="4">
        <v>0.12</v>
      </c>
      <c r="I14" s="4">
        <v>0.27</v>
      </c>
      <c r="J14" s="4">
        <v>0.14000000000000001</v>
      </c>
      <c r="K14" s="4">
        <v>7.0000000000000007E-2</v>
      </c>
      <c r="L14" s="4">
        <v>0.18</v>
      </c>
      <c r="M14" s="4">
        <v>0.31</v>
      </c>
      <c r="N14" s="4">
        <v>0.15</v>
      </c>
      <c r="O14" s="4">
        <v>0.21</v>
      </c>
      <c r="P14" s="4">
        <v>0.13</v>
      </c>
      <c r="Q14" s="4">
        <v>0.04</v>
      </c>
      <c r="R14" s="4">
        <v>0.06</v>
      </c>
      <c r="S14" s="4">
        <v>0.09</v>
      </c>
    </row>
    <row r="15" spans="1:19" ht="14.5" customHeight="1" thickBot="1">
      <c r="A15" s="6" t="s">
        <v>70</v>
      </c>
      <c r="B15" s="6" t="s">
        <v>73</v>
      </c>
      <c r="C15" s="7" t="s">
        <v>74</v>
      </c>
      <c r="D15" s="10">
        <v>48000</v>
      </c>
      <c r="E15" s="4">
        <v>0.08</v>
      </c>
      <c r="F15" s="4">
        <v>0.12</v>
      </c>
      <c r="G15" s="6" t="s">
        <v>45</v>
      </c>
      <c r="H15" s="4">
        <v>0.05</v>
      </c>
      <c r="I15" s="4">
        <v>0.12</v>
      </c>
      <c r="J15" s="4">
        <v>0.06</v>
      </c>
      <c r="K15" s="4">
        <v>0.03</v>
      </c>
      <c r="L15" s="4">
        <v>0.08</v>
      </c>
      <c r="M15" s="4">
        <v>0.14000000000000001</v>
      </c>
      <c r="N15" s="4">
        <v>7.0000000000000007E-2</v>
      </c>
      <c r="O15" s="4">
        <v>0.09</v>
      </c>
      <c r="P15" s="4">
        <v>0.06</v>
      </c>
      <c r="Q15" s="4">
        <v>0.02</v>
      </c>
      <c r="R15" s="4">
        <v>0.03</v>
      </c>
      <c r="S15" s="4">
        <v>0.04</v>
      </c>
    </row>
    <row r="16" spans="1:19" ht="14.5" customHeight="1" thickBot="1">
      <c r="A16" s="6" t="s">
        <v>70</v>
      </c>
      <c r="B16" s="6" t="s">
        <v>75</v>
      </c>
      <c r="C16" s="7" t="s">
        <v>76</v>
      </c>
      <c r="D16" s="10">
        <v>52000</v>
      </c>
      <c r="E16" s="4">
        <v>0.115</v>
      </c>
      <c r="F16" s="4">
        <v>0.185</v>
      </c>
      <c r="G16" s="6" t="s">
        <v>45</v>
      </c>
      <c r="H16" s="4">
        <v>0.08</v>
      </c>
      <c r="I16" s="4">
        <v>0.18</v>
      </c>
      <c r="J16" s="4">
        <v>0.09</v>
      </c>
      <c r="K16" s="4">
        <v>0.05</v>
      </c>
      <c r="L16" s="4">
        <v>0.12</v>
      </c>
      <c r="M16" s="4">
        <v>0.21</v>
      </c>
      <c r="N16" s="4">
        <v>0.1</v>
      </c>
      <c r="O16" s="4">
        <v>0.14000000000000001</v>
      </c>
      <c r="P16" s="4">
        <v>0.09</v>
      </c>
      <c r="Q16" s="4">
        <v>0.03</v>
      </c>
      <c r="R16" s="4">
        <v>0.04</v>
      </c>
      <c r="S16" s="4">
        <v>0.06</v>
      </c>
    </row>
    <row r="17" spans="1:19" ht="14.5" customHeight="1" thickBot="1">
      <c r="A17" s="6" t="s">
        <v>70</v>
      </c>
      <c r="B17" s="6" t="s">
        <v>77</v>
      </c>
      <c r="C17" s="7" t="s">
        <v>78</v>
      </c>
      <c r="D17" s="10">
        <v>68000</v>
      </c>
      <c r="E17" s="4">
        <v>0.11</v>
      </c>
      <c r="F17" s="4">
        <v>0.18</v>
      </c>
      <c r="G17" s="6" t="s">
        <v>45</v>
      </c>
      <c r="H17" s="4">
        <v>0.08</v>
      </c>
      <c r="I17" s="4">
        <v>0.18</v>
      </c>
      <c r="J17" s="4">
        <v>0.09</v>
      </c>
      <c r="K17" s="4">
        <v>0.04</v>
      </c>
      <c r="L17" s="4">
        <v>0.11</v>
      </c>
      <c r="M17" s="4">
        <v>0.21</v>
      </c>
      <c r="N17" s="4">
        <v>0.1</v>
      </c>
      <c r="O17" s="4">
        <v>0.14000000000000001</v>
      </c>
      <c r="P17" s="4">
        <v>0.08</v>
      </c>
      <c r="Q17" s="4">
        <v>0.03</v>
      </c>
      <c r="R17" s="4">
        <v>0.04</v>
      </c>
      <c r="S17" s="4">
        <v>0.06</v>
      </c>
    </row>
    <row r="18" spans="1:19" ht="14.5" customHeight="1" thickBot="1">
      <c r="A18" s="6" t="s">
        <v>70</v>
      </c>
      <c r="B18" s="6" t="s">
        <v>79</v>
      </c>
      <c r="C18" s="7" t="s">
        <v>80</v>
      </c>
      <c r="D18" s="10">
        <v>49000</v>
      </c>
      <c r="E18" s="4">
        <v>7.4999999999999997E-2</v>
      </c>
      <c r="F18" s="4">
        <v>0.11</v>
      </c>
      <c r="G18" s="6" t="s">
        <v>50</v>
      </c>
      <c r="H18" s="4">
        <v>0.05</v>
      </c>
      <c r="I18" s="4">
        <v>0.11</v>
      </c>
      <c r="J18" s="4">
        <v>0.06</v>
      </c>
      <c r="K18" s="4">
        <v>0.03</v>
      </c>
      <c r="L18" s="4">
        <v>7.0000000000000007E-2</v>
      </c>
      <c r="M18" s="4">
        <v>0.13</v>
      </c>
      <c r="N18" s="4">
        <v>0.06</v>
      </c>
      <c r="O18" s="4">
        <v>0.08</v>
      </c>
      <c r="P18" s="4">
        <v>0.05</v>
      </c>
      <c r="Q18" s="4">
        <v>0.02</v>
      </c>
      <c r="R18" s="4">
        <v>0.02</v>
      </c>
      <c r="S18" s="4">
        <v>0.04</v>
      </c>
    </row>
    <row r="19" spans="1:19" ht="14.5" customHeight="1" thickBot="1">
      <c r="A19" s="6" t="s">
        <v>70</v>
      </c>
      <c r="B19" s="6" t="s">
        <v>81</v>
      </c>
      <c r="C19" s="7" t="s">
        <v>82</v>
      </c>
      <c r="D19" s="10">
        <v>62000</v>
      </c>
      <c r="E19" s="4">
        <v>8.5000000000000006E-2</v>
      </c>
      <c r="F19" s="4">
        <v>0.13</v>
      </c>
      <c r="G19" s="6" t="s">
        <v>45</v>
      </c>
      <c r="H19" s="4">
        <v>0.05</v>
      </c>
      <c r="I19" s="4">
        <v>0.13</v>
      </c>
      <c r="J19" s="4">
        <v>7.0000000000000007E-2</v>
      </c>
      <c r="K19" s="4">
        <v>0.03</v>
      </c>
      <c r="L19" s="4">
        <v>0.08</v>
      </c>
      <c r="M19" s="4">
        <v>0.15</v>
      </c>
      <c r="N19" s="4">
        <v>7.0000000000000007E-2</v>
      </c>
      <c r="O19" s="4">
        <v>0.1</v>
      </c>
      <c r="P19" s="4">
        <v>0.06</v>
      </c>
      <c r="Q19" s="4">
        <v>0.02</v>
      </c>
      <c r="R19" s="4">
        <v>0.03</v>
      </c>
      <c r="S19" s="4">
        <v>0.04</v>
      </c>
    </row>
    <row r="20" spans="1:19" ht="14.5" customHeight="1" thickBot="1">
      <c r="A20" s="6" t="s">
        <v>83</v>
      </c>
      <c r="B20" s="6" t="s">
        <v>84</v>
      </c>
      <c r="C20" s="7" t="s">
        <v>85</v>
      </c>
      <c r="D20" s="10">
        <v>48000</v>
      </c>
      <c r="E20" s="4">
        <v>0.05</v>
      </c>
      <c r="F20" s="4">
        <v>7.4999999999999997E-2</v>
      </c>
      <c r="G20" s="6" t="s">
        <v>50</v>
      </c>
      <c r="H20" s="4">
        <v>0.03</v>
      </c>
      <c r="I20" s="4">
        <v>7.0000000000000007E-2</v>
      </c>
      <c r="J20" s="4">
        <v>0.04</v>
      </c>
      <c r="K20" s="4">
        <v>0.02</v>
      </c>
      <c r="L20" s="4">
        <v>0.05</v>
      </c>
      <c r="M20" s="4">
        <v>0.09</v>
      </c>
      <c r="N20" s="4">
        <v>0.04</v>
      </c>
      <c r="O20" s="4">
        <v>0.06</v>
      </c>
      <c r="P20" s="4">
        <v>0.03</v>
      </c>
      <c r="Q20" s="4">
        <v>0.01</v>
      </c>
      <c r="R20" s="4">
        <v>0.02</v>
      </c>
      <c r="S20" s="4">
        <v>0.03</v>
      </c>
    </row>
    <row r="21" spans="1:19" ht="14.5" customHeight="1" thickBot="1">
      <c r="A21" s="6" t="s">
        <v>83</v>
      </c>
      <c r="B21" s="6" t="s">
        <v>86</v>
      </c>
      <c r="C21" s="7" t="s">
        <v>87</v>
      </c>
      <c r="D21" s="10">
        <v>28000</v>
      </c>
      <c r="E21" s="4">
        <v>7.4999999999999997E-2</v>
      </c>
      <c r="F21" s="4">
        <v>0.115</v>
      </c>
      <c r="G21" s="6" t="s">
        <v>50</v>
      </c>
      <c r="H21" s="4">
        <v>0.05</v>
      </c>
      <c r="I21" s="4">
        <v>0.11</v>
      </c>
      <c r="J21" s="4">
        <v>0.06</v>
      </c>
      <c r="K21" s="4">
        <v>0.03</v>
      </c>
      <c r="L21" s="4">
        <v>7.0000000000000007E-2</v>
      </c>
      <c r="M21" s="4">
        <v>0.13</v>
      </c>
      <c r="N21" s="4">
        <v>0.06</v>
      </c>
      <c r="O21" s="4">
        <v>0.09</v>
      </c>
      <c r="P21" s="4">
        <v>0.05</v>
      </c>
      <c r="Q21" s="4">
        <v>0.02</v>
      </c>
      <c r="R21" s="4">
        <v>0.02</v>
      </c>
      <c r="S21" s="4">
        <v>0.04</v>
      </c>
    </row>
    <row r="22" spans="1:19" ht="14.5" customHeight="1" thickBot="1">
      <c r="A22" s="6" t="s">
        <v>83</v>
      </c>
      <c r="B22" s="6" t="s">
        <v>88</v>
      </c>
      <c r="C22" s="7" t="s">
        <v>89</v>
      </c>
      <c r="D22" s="10">
        <v>38000</v>
      </c>
      <c r="E22" s="4">
        <v>6.5000000000000002E-2</v>
      </c>
      <c r="F22" s="4">
        <v>9.5000000000000001E-2</v>
      </c>
      <c r="G22" s="6" t="s">
        <v>50</v>
      </c>
      <c r="H22" s="4">
        <v>0.04</v>
      </c>
      <c r="I22" s="4">
        <v>0.09</v>
      </c>
      <c r="J22" s="4">
        <v>0.05</v>
      </c>
      <c r="K22" s="4">
        <v>0.02</v>
      </c>
      <c r="L22" s="4">
        <v>0.06</v>
      </c>
      <c r="M22" s="4">
        <v>0.11</v>
      </c>
      <c r="N22" s="4">
        <v>0.05</v>
      </c>
      <c r="O22" s="4">
        <v>7.0000000000000007E-2</v>
      </c>
      <c r="P22" s="4">
        <v>0.04</v>
      </c>
      <c r="Q22" s="4">
        <v>0.02</v>
      </c>
      <c r="R22" s="4">
        <v>0.02</v>
      </c>
      <c r="S22" s="4">
        <v>0.03</v>
      </c>
    </row>
    <row r="23" spans="1:19" ht="14.5" customHeight="1" thickBot="1">
      <c r="A23" s="6" t="s">
        <v>83</v>
      </c>
      <c r="B23" s="6" t="s">
        <v>90</v>
      </c>
      <c r="C23" s="7" t="s">
        <v>91</v>
      </c>
      <c r="D23" s="10">
        <v>22000</v>
      </c>
      <c r="E23" s="4">
        <v>7.0000000000000007E-2</v>
      </c>
      <c r="F23" s="4">
        <v>0.1</v>
      </c>
      <c r="G23" s="6" t="s">
        <v>50</v>
      </c>
      <c r="H23" s="4">
        <v>0.04</v>
      </c>
      <c r="I23" s="4">
        <v>0.1</v>
      </c>
      <c r="J23" s="4">
        <v>0.05</v>
      </c>
      <c r="K23" s="4">
        <v>0.03</v>
      </c>
      <c r="L23" s="4">
        <v>0.06</v>
      </c>
      <c r="M23" s="4">
        <v>0.12</v>
      </c>
      <c r="N23" s="4">
        <v>0.06</v>
      </c>
      <c r="O23" s="4">
        <v>0.08</v>
      </c>
      <c r="P23" s="4">
        <v>0.05</v>
      </c>
      <c r="Q23" s="4">
        <v>0.02</v>
      </c>
      <c r="R23" s="4">
        <v>0.02</v>
      </c>
      <c r="S23" s="4">
        <v>0.03</v>
      </c>
    </row>
    <row r="24" spans="1:19" ht="14.5" customHeight="1" thickBot="1">
      <c r="A24" s="6" t="s">
        <v>83</v>
      </c>
      <c r="B24" s="6" t="s">
        <v>92</v>
      </c>
      <c r="C24" s="7" t="s">
        <v>93</v>
      </c>
      <c r="D24" s="10">
        <v>54000</v>
      </c>
      <c r="E24" s="4">
        <v>9.5000000000000001E-2</v>
      </c>
      <c r="F24" s="4">
        <v>0.14499999999999999</v>
      </c>
      <c r="G24" s="6" t="s">
        <v>45</v>
      </c>
      <c r="H24" s="4">
        <v>0.06</v>
      </c>
      <c r="I24" s="4">
        <v>0.14000000000000001</v>
      </c>
      <c r="J24" s="4">
        <v>7.0000000000000007E-2</v>
      </c>
      <c r="K24" s="4">
        <v>0.04</v>
      </c>
      <c r="L24" s="4">
        <v>0.09</v>
      </c>
      <c r="M24" s="4">
        <v>0.17</v>
      </c>
      <c r="N24" s="4">
        <v>0.08</v>
      </c>
      <c r="O24" s="4">
        <v>0.11</v>
      </c>
      <c r="P24" s="4">
        <v>7.0000000000000007E-2</v>
      </c>
      <c r="Q24" s="4">
        <v>0.02</v>
      </c>
      <c r="R24" s="4">
        <v>0.03</v>
      </c>
      <c r="S24" s="4">
        <v>0.05</v>
      </c>
    </row>
    <row r="25" spans="1:19" ht="14.5" customHeight="1" thickBot="1">
      <c r="A25" s="6" t="s">
        <v>83</v>
      </c>
      <c r="B25" s="6" t="s">
        <v>83</v>
      </c>
      <c r="C25" s="7" t="s">
        <v>94</v>
      </c>
      <c r="D25" s="10">
        <v>78000</v>
      </c>
      <c r="E25" s="4">
        <v>0.125</v>
      </c>
      <c r="F25" s="4">
        <v>0.19</v>
      </c>
      <c r="G25" s="6" t="s">
        <v>45</v>
      </c>
      <c r="H25" s="4">
        <v>0.08</v>
      </c>
      <c r="I25" s="4">
        <v>0.19</v>
      </c>
      <c r="J25" s="4">
        <v>0.1</v>
      </c>
      <c r="K25" s="4">
        <v>0.05</v>
      </c>
      <c r="L25" s="4">
        <v>0.12</v>
      </c>
      <c r="M25" s="4">
        <v>0.22</v>
      </c>
      <c r="N25" s="4">
        <v>0.11</v>
      </c>
      <c r="O25" s="4">
        <v>0.15</v>
      </c>
      <c r="P25" s="4">
        <v>0.09</v>
      </c>
      <c r="Q25" s="4">
        <v>0.03</v>
      </c>
      <c r="R25" s="4">
        <v>0.04</v>
      </c>
      <c r="S25" s="4">
        <v>0.06</v>
      </c>
    </row>
    <row r="26" spans="1:19" ht="14.5" customHeight="1" thickBot="1">
      <c r="A26" s="6" t="s">
        <v>83</v>
      </c>
      <c r="B26" s="6" t="s">
        <v>95</v>
      </c>
      <c r="C26" s="7" t="s">
        <v>96</v>
      </c>
      <c r="D26" s="10">
        <v>124000</v>
      </c>
      <c r="E26" s="4">
        <v>0.17</v>
      </c>
      <c r="F26" s="4">
        <v>0.28499999999999998</v>
      </c>
      <c r="G26" s="6" t="s">
        <v>65</v>
      </c>
      <c r="H26" s="4">
        <v>0.12</v>
      </c>
      <c r="I26" s="4">
        <v>0.28000000000000003</v>
      </c>
      <c r="J26" s="4">
        <v>0.15</v>
      </c>
      <c r="K26" s="4">
        <v>0.08</v>
      </c>
      <c r="L26" s="4">
        <v>0.18</v>
      </c>
      <c r="M26" s="4">
        <v>0.33</v>
      </c>
      <c r="N26" s="4">
        <v>0.16</v>
      </c>
      <c r="O26" s="4">
        <v>0.22</v>
      </c>
      <c r="P26" s="4">
        <v>0.14000000000000001</v>
      </c>
      <c r="Q26" s="4">
        <v>0.04</v>
      </c>
      <c r="R26" s="4">
        <v>0.06</v>
      </c>
      <c r="S26" s="4">
        <v>0.1</v>
      </c>
    </row>
    <row r="27" spans="1:19" ht="14.5" customHeight="1" thickBot="1">
      <c r="A27" s="6" t="s">
        <v>83</v>
      </c>
      <c r="B27" s="6" t="s">
        <v>97</v>
      </c>
      <c r="C27" s="7" t="s">
        <v>98</v>
      </c>
      <c r="D27" s="10">
        <v>64000</v>
      </c>
      <c r="E27" s="4">
        <v>0.1</v>
      </c>
      <c r="F27" s="4">
        <v>0.155</v>
      </c>
      <c r="G27" s="6" t="s">
        <v>45</v>
      </c>
      <c r="H27" s="4">
        <v>7.0000000000000007E-2</v>
      </c>
      <c r="I27" s="4">
        <v>0.15</v>
      </c>
      <c r="J27" s="4">
        <v>0.08</v>
      </c>
      <c r="K27" s="4">
        <v>0.04</v>
      </c>
      <c r="L27" s="4">
        <v>0.1</v>
      </c>
      <c r="M27" s="4">
        <v>0.18</v>
      </c>
      <c r="N27" s="4">
        <v>0.09</v>
      </c>
      <c r="O27" s="4">
        <v>0.12</v>
      </c>
      <c r="P27" s="4">
        <v>7.0000000000000007E-2</v>
      </c>
      <c r="Q27" s="4">
        <v>0.02</v>
      </c>
      <c r="R27" s="4">
        <v>0.03</v>
      </c>
      <c r="S27" s="4">
        <v>0.05</v>
      </c>
    </row>
    <row r="28" spans="1:19" ht="14.5" customHeight="1" thickBot="1">
      <c r="A28" s="6" t="s">
        <v>99</v>
      </c>
      <c r="B28" s="6" t="s">
        <v>100</v>
      </c>
      <c r="C28" s="7" t="s">
        <v>101</v>
      </c>
      <c r="D28" s="10">
        <v>34000</v>
      </c>
      <c r="E28" s="4">
        <v>5.5E-2</v>
      </c>
      <c r="F28" s="4">
        <v>0.08</v>
      </c>
      <c r="G28" s="6" t="s">
        <v>50</v>
      </c>
      <c r="H28" s="4">
        <v>0.03</v>
      </c>
      <c r="I28" s="4">
        <v>0.08</v>
      </c>
      <c r="J28" s="4">
        <v>0.04</v>
      </c>
      <c r="K28" s="4">
        <v>0.02</v>
      </c>
      <c r="L28" s="4">
        <v>0.05</v>
      </c>
      <c r="M28" s="4">
        <v>0.09</v>
      </c>
      <c r="N28" s="4">
        <v>0.04</v>
      </c>
      <c r="O28" s="4">
        <v>0.06</v>
      </c>
      <c r="P28" s="4">
        <v>0.04</v>
      </c>
      <c r="Q28" s="4">
        <v>0.01</v>
      </c>
      <c r="R28" s="4">
        <v>0.02</v>
      </c>
      <c r="S28" s="4">
        <v>0.03</v>
      </c>
    </row>
    <row r="29" spans="1:19" ht="14.5" customHeight="1" thickBot="1">
      <c r="A29" s="6" t="s">
        <v>99</v>
      </c>
      <c r="B29" s="6" t="s">
        <v>99</v>
      </c>
      <c r="C29" s="7" t="s">
        <v>102</v>
      </c>
      <c r="D29" s="10">
        <v>22000</v>
      </c>
      <c r="E29" s="4">
        <v>0.04</v>
      </c>
      <c r="F29" s="4">
        <v>5.5E-2</v>
      </c>
      <c r="G29" s="6" t="s">
        <v>50</v>
      </c>
      <c r="H29" s="4">
        <v>0.02</v>
      </c>
      <c r="I29" s="4">
        <v>0.05</v>
      </c>
      <c r="J29" s="4">
        <v>0.03</v>
      </c>
      <c r="K29" s="4">
        <v>0.01</v>
      </c>
      <c r="L29" s="4">
        <v>0.03</v>
      </c>
      <c r="M29" s="4">
        <v>0.06</v>
      </c>
      <c r="N29" s="4">
        <v>0.03</v>
      </c>
      <c r="O29" s="4">
        <v>0.04</v>
      </c>
      <c r="P29" s="4">
        <v>0.02</v>
      </c>
      <c r="Q29" s="4">
        <v>0.01</v>
      </c>
      <c r="R29" s="4">
        <v>0.01</v>
      </c>
      <c r="S29" s="4">
        <v>0.02</v>
      </c>
    </row>
    <row r="30" spans="1:19" ht="14.5" customHeight="1" thickBot="1">
      <c r="A30" s="6" t="s">
        <v>99</v>
      </c>
      <c r="B30" s="6" t="s">
        <v>103</v>
      </c>
      <c r="C30" s="7" t="s">
        <v>104</v>
      </c>
      <c r="D30" s="10">
        <v>42000</v>
      </c>
      <c r="E30" s="4">
        <v>0.06</v>
      </c>
      <c r="F30" s="4">
        <v>0.09</v>
      </c>
      <c r="G30" s="6" t="s">
        <v>50</v>
      </c>
      <c r="H30" s="4">
        <v>0.04</v>
      </c>
      <c r="I30" s="4">
        <v>0.09</v>
      </c>
      <c r="J30" s="4">
        <v>0.05</v>
      </c>
      <c r="K30" s="4">
        <v>0.02</v>
      </c>
      <c r="L30" s="4">
        <v>0.06</v>
      </c>
      <c r="M30" s="4">
        <v>0.1</v>
      </c>
      <c r="N30" s="4">
        <v>0.05</v>
      </c>
      <c r="O30" s="4">
        <v>7.0000000000000007E-2</v>
      </c>
      <c r="P30" s="4">
        <v>0.04</v>
      </c>
      <c r="Q30" s="4">
        <v>0.02</v>
      </c>
      <c r="R30" s="4">
        <v>0.02</v>
      </c>
      <c r="S30" s="4">
        <v>0.03</v>
      </c>
    </row>
    <row r="31" spans="1:19" ht="14.5" customHeight="1" thickBot="1">
      <c r="A31" s="6" t="s">
        <v>99</v>
      </c>
      <c r="B31" s="6" t="s">
        <v>105</v>
      </c>
      <c r="C31" s="7" t="s">
        <v>106</v>
      </c>
      <c r="D31" s="10">
        <v>26000</v>
      </c>
      <c r="E31" s="4">
        <v>4.4999999999999998E-2</v>
      </c>
      <c r="F31" s="4">
        <v>0.06</v>
      </c>
      <c r="G31" s="6" t="s">
        <v>50</v>
      </c>
      <c r="H31" s="4">
        <v>0.03</v>
      </c>
      <c r="I31" s="4">
        <v>0.06</v>
      </c>
      <c r="J31" s="4">
        <v>0.03</v>
      </c>
      <c r="K31" s="4">
        <v>0.02</v>
      </c>
      <c r="L31" s="4">
        <v>0.04</v>
      </c>
      <c r="M31" s="4">
        <v>7.0000000000000007E-2</v>
      </c>
      <c r="N31" s="4">
        <v>0.03</v>
      </c>
      <c r="O31" s="4">
        <v>0.05</v>
      </c>
      <c r="P31" s="4">
        <v>0.03</v>
      </c>
      <c r="Q31" s="4">
        <v>0.01</v>
      </c>
      <c r="R31" s="4">
        <v>0.01</v>
      </c>
      <c r="S31" s="4">
        <v>0.02</v>
      </c>
    </row>
    <row r="32" spans="1:19" ht="15" thickBot="1">
      <c r="A32" s="6" t="s">
        <v>122</v>
      </c>
      <c r="B32" s="6" t="s">
        <v>122</v>
      </c>
      <c r="C32" s="7" t="s">
        <v>123</v>
      </c>
      <c r="D32" s="10">
        <v>102551.3</v>
      </c>
      <c r="E32" s="4">
        <v>0.19</v>
      </c>
      <c r="F32" s="4">
        <v>0.35</v>
      </c>
      <c r="G32" s="6" t="s">
        <v>65</v>
      </c>
      <c r="H32" s="4">
        <v>0.15</v>
      </c>
      <c r="I32" s="4">
        <v>0.35</v>
      </c>
      <c r="J32" s="4">
        <v>0.18</v>
      </c>
      <c r="K32" s="4">
        <v>0.1</v>
      </c>
      <c r="L32" s="4">
        <v>0.23</v>
      </c>
      <c r="M32" s="4">
        <v>0.4</v>
      </c>
      <c r="N32" s="4">
        <v>0.2</v>
      </c>
      <c r="O32" s="4">
        <v>0.27</v>
      </c>
      <c r="P32" s="4">
        <v>0.17</v>
      </c>
      <c r="Q32" s="4">
        <v>0.06</v>
      </c>
      <c r="R32" s="4">
        <v>0.08</v>
      </c>
      <c r="S32" s="4">
        <v>0.12</v>
      </c>
    </row>
    <row r="33" spans="1:19" ht="15" thickBot="1">
      <c r="A33" s="6" t="s">
        <v>122</v>
      </c>
      <c r="B33" s="6" t="s">
        <v>124</v>
      </c>
      <c r="C33" s="7" t="s">
        <v>125</v>
      </c>
      <c r="D33" s="10">
        <v>38216.699999999997</v>
      </c>
      <c r="E33" s="4">
        <v>0.1</v>
      </c>
      <c r="F33" s="4">
        <v>0.15</v>
      </c>
      <c r="G33" s="6" t="s">
        <v>45</v>
      </c>
      <c r="H33" s="4">
        <v>0.06</v>
      </c>
      <c r="I33" s="4">
        <v>0.15</v>
      </c>
      <c r="J33" s="4">
        <v>0.08</v>
      </c>
      <c r="K33" s="4">
        <v>0.04</v>
      </c>
      <c r="L33" s="4">
        <v>0.09</v>
      </c>
      <c r="M33" s="4">
        <v>0.17</v>
      </c>
      <c r="N33" s="4">
        <v>0.08</v>
      </c>
      <c r="O33" s="4">
        <v>0.11</v>
      </c>
      <c r="P33" s="4">
        <v>7.0000000000000007E-2</v>
      </c>
      <c r="Q33" s="4">
        <v>0.02</v>
      </c>
      <c r="R33" s="4">
        <v>0.03</v>
      </c>
      <c r="S33" s="4">
        <v>0.05</v>
      </c>
    </row>
    <row r="34" spans="1:19" ht="15" thickBot="1">
      <c r="A34" s="6" t="s">
        <v>122</v>
      </c>
      <c r="B34" s="6" t="s">
        <v>126</v>
      </c>
      <c r="C34" s="7" t="s">
        <v>127</v>
      </c>
      <c r="D34" s="10">
        <v>45085</v>
      </c>
      <c r="E34" s="4">
        <v>0.12</v>
      </c>
      <c r="F34" s="4">
        <v>0.19500000000000001</v>
      </c>
      <c r="G34" s="6" t="s">
        <v>45</v>
      </c>
      <c r="H34" s="4">
        <v>0.08</v>
      </c>
      <c r="I34" s="4">
        <v>0.19</v>
      </c>
      <c r="J34" s="4">
        <v>0.1</v>
      </c>
      <c r="K34" s="4">
        <v>0.05</v>
      </c>
      <c r="L34" s="4">
        <v>0.12</v>
      </c>
      <c r="M34" s="4">
        <v>0.22</v>
      </c>
      <c r="N34" s="4">
        <v>0.11</v>
      </c>
      <c r="O34" s="4">
        <v>0.15</v>
      </c>
      <c r="P34" s="4">
        <v>0.09</v>
      </c>
      <c r="Q34" s="4">
        <v>0.03</v>
      </c>
      <c r="R34" s="4">
        <v>0.04</v>
      </c>
      <c r="S34" s="4">
        <v>0.06</v>
      </c>
    </row>
    <row r="35" spans="1:19">
      <c r="A35" s="6" t="s">
        <v>122</v>
      </c>
      <c r="B35" s="6" t="s">
        <v>128</v>
      </c>
      <c r="C35" s="7" t="s">
        <v>129</v>
      </c>
      <c r="D35" s="10">
        <v>84500</v>
      </c>
      <c r="E35" s="4">
        <v>0.125</v>
      </c>
      <c r="F35" s="4">
        <v>0.19</v>
      </c>
      <c r="G35" s="6" t="s">
        <v>45</v>
      </c>
      <c r="H35" s="4">
        <v>0.08</v>
      </c>
      <c r="I35" s="4">
        <v>0.19</v>
      </c>
      <c r="J35" s="4">
        <v>0.1</v>
      </c>
      <c r="K35" s="4">
        <v>0.05</v>
      </c>
      <c r="L35" s="4">
        <v>0.12</v>
      </c>
      <c r="M35" s="4">
        <v>0.22</v>
      </c>
      <c r="N35" s="4">
        <v>0.11</v>
      </c>
      <c r="O35" s="4">
        <v>0.15</v>
      </c>
      <c r="P35" s="4">
        <v>0.09</v>
      </c>
      <c r="Q35" s="4">
        <v>0.03</v>
      </c>
      <c r="R35" s="4">
        <v>0.04</v>
      </c>
      <c r="S35" s="4">
        <v>0.06</v>
      </c>
    </row>
  </sheetData>
  <conditionalFormatting sqref="E2:S35">
    <cfRule type="colorScale" priority="4">
      <colorScale>
        <cfvo type="min"/>
        <cfvo type="percentile" val="50"/>
        <cfvo type="max"/>
        <color rgb="FFFFFFFF"/>
        <color rgb="FFFFD966"/>
        <color rgb="FF63BE7B"/>
      </colorScale>
    </cfRule>
  </conditionalFormatting>
  <conditionalFormatting sqref="G2:G35">
    <cfRule type="expression" dxfId="56" priority="1">
      <formula>$G2="Tinggi"</formula>
    </cfRule>
    <cfRule type="expression" dxfId="55" priority="2">
      <formula>$G2="Sedang"</formula>
    </cfRule>
    <cfRule type="expression" dxfId="54" priority="3">
      <formula>$G2="Rendah"</formula>
    </cfRule>
  </conditionalFormatting>
  <pageMargins left="0.7" right="0.7" top="0.75" bottom="0.75" header="0.3" footer="0.3"/>
  <headerFooter>
    <oddFooter>&amp;R_x000D_&amp;1#&amp;"Aptos"&amp;22&amp;KFF8939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C1C94-6047-4D77-B9D6-AF56FEF69C54}">
  <dimension ref="A1:Q35"/>
  <sheetViews>
    <sheetView topLeftCell="F1" workbookViewId="0">
      <selection activeCell="H19" sqref="H19"/>
    </sheetView>
  </sheetViews>
  <sheetFormatPr defaultRowHeight="14.5"/>
  <cols>
    <col min="1" max="1" width="10.1796875" bestFit="1" customWidth="1"/>
    <col min="2" max="2" width="12.7265625" bestFit="1" customWidth="1"/>
    <col min="3" max="3" width="34.54296875" customWidth="1"/>
    <col min="4" max="4" width="13.36328125" bestFit="1" customWidth="1"/>
    <col min="5" max="5" width="10.08984375" bestFit="1" customWidth="1"/>
    <col min="6" max="6" width="9.81640625" bestFit="1" customWidth="1"/>
    <col min="7" max="7" width="6.90625" bestFit="1" customWidth="1"/>
    <col min="8" max="8" width="12.1796875" bestFit="1" customWidth="1"/>
    <col min="9" max="9" width="10.08984375" bestFit="1" customWidth="1"/>
    <col min="10" max="10" width="13.7265625" bestFit="1" customWidth="1"/>
    <col min="11" max="11" width="11.453125" bestFit="1" customWidth="1"/>
    <col min="12" max="12" width="13.7265625" bestFit="1" customWidth="1"/>
    <col min="13" max="13" width="11.453125" bestFit="1" customWidth="1"/>
    <col min="14" max="14" width="13.7265625" bestFit="1" customWidth="1"/>
    <col min="15" max="15" width="11.453125" bestFit="1" customWidth="1"/>
    <col min="16" max="16" width="13.7265625" bestFit="1" customWidth="1"/>
    <col min="17" max="17" width="11.453125" bestFit="1" customWidth="1"/>
  </cols>
  <sheetData>
    <row r="1" spans="1:17" ht="43.5">
      <c r="A1" s="11" t="s">
        <v>24</v>
      </c>
      <c r="B1" s="11" t="s">
        <v>25</v>
      </c>
      <c r="C1" s="11" t="s">
        <v>26</v>
      </c>
      <c r="D1" s="11" t="s">
        <v>27</v>
      </c>
      <c r="E1" s="11" t="s">
        <v>28</v>
      </c>
      <c r="F1" s="11" t="s">
        <v>29</v>
      </c>
      <c r="G1" s="11" t="s">
        <v>30</v>
      </c>
      <c r="H1" s="11" t="str">
        <f>"Produk 1 ("&amp;TEXT(MIN(I2:I35),"0%")&amp;"–"&amp;TEXT(MAX(I2:I35),"0%")&amp;")"</f>
        <v>Produk 1 (28%–32%)</v>
      </c>
      <c r="I1" s="11" t="s">
        <v>107</v>
      </c>
      <c r="J1" s="11" t="str">
        <f>"Produk 2 ("&amp;TEXT(MIN(K2:K35),"0%")&amp;"–"&amp;TEXT(MAX(K2:K35),"0%")&amp;")"</f>
        <v>Produk 2 (18%–28%)</v>
      </c>
      <c r="K1" s="11" t="s">
        <v>108</v>
      </c>
      <c r="L1" s="11" t="str">
        <f>"Produk 3 ("&amp;TEXT(MIN(M2:M35),"0%")&amp;"–"&amp;TEXT(MAX(M2:M35),"0%")&amp;")"</f>
        <v>Produk 3 (15%–20%)</v>
      </c>
      <c r="M1" s="11" t="s">
        <v>109</v>
      </c>
      <c r="N1" s="11" t="str">
        <f>"Produk 4 ("&amp;TEXT(MIN(O2:O35),"0%")&amp;"–"&amp;TEXT(MAX(O2:O35),"0%")&amp;")"</f>
        <v>Produk 4 (10%–16%)</v>
      </c>
      <c r="O1" s="11" t="s">
        <v>110</v>
      </c>
      <c r="P1" s="11" t="str">
        <f>"Produk 5 ("&amp;TEXT(MIN(Q2:Q35),"0%")&amp;"–"&amp;TEXT(MAX(Q2:Q35),"0%")&amp;")"</f>
        <v>Produk 5 (8%–12%)</v>
      </c>
      <c r="Q1" s="11" t="s">
        <v>111</v>
      </c>
    </row>
    <row r="2" spans="1:17">
      <c r="A2" t="s">
        <v>43</v>
      </c>
      <c r="B2" t="s">
        <v>43</v>
      </c>
      <c r="C2" s="13" t="s">
        <v>44</v>
      </c>
      <c r="D2" t="s">
        <v>0</v>
      </c>
      <c r="E2" s="12">
        <v>0.14499999999999999</v>
      </c>
      <c r="F2" s="12">
        <v>0.24</v>
      </c>
      <c r="G2" t="s">
        <v>45</v>
      </c>
      <c r="H2" s="14" t="s">
        <v>112</v>
      </c>
      <c r="I2" s="3">
        <v>0.28000000000000003</v>
      </c>
      <c r="J2" t="s">
        <v>113</v>
      </c>
      <c r="K2" s="3">
        <v>0.25</v>
      </c>
      <c r="L2" t="s">
        <v>114</v>
      </c>
      <c r="M2" s="3">
        <v>0.18</v>
      </c>
      <c r="N2" s="14" t="s">
        <v>115</v>
      </c>
      <c r="O2" s="3">
        <v>0.12</v>
      </c>
      <c r="P2" s="14" t="s">
        <v>116</v>
      </c>
      <c r="Q2" s="3">
        <v>0.1</v>
      </c>
    </row>
    <row r="3" spans="1:17">
      <c r="A3" t="s">
        <v>43</v>
      </c>
      <c r="B3" t="s">
        <v>46</v>
      </c>
      <c r="C3" s="13" t="s">
        <v>47</v>
      </c>
      <c r="D3" t="s">
        <v>1</v>
      </c>
      <c r="E3" s="12">
        <v>0.11</v>
      </c>
      <c r="F3" s="12">
        <v>0.17499999999999999</v>
      </c>
      <c r="G3" t="s">
        <v>45</v>
      </c>
      <c r="H3" t="s">
        <v>113</v>
      </c>
      <c r="I3" s="3">
        <v>0.3</v>
      </c>
      <c r="J3" s="14" t="s">
        <v>112</v>
      </c>
      <c r="K3" s="3">
        <v>0.2</v>
      </c>
      <c r="L3" s="14" t="s">
        <v>116</v>
      </c>
      <c r="M3" s="3">
        <v>0.18</v>
      </c>
      <c r="N3" t="s">
        <v>114</v>
      </c>
      <c r="O3" s="3">
        <v>0.16</v>
      </c>
      <c r="P3" s="14" t="s">
        <v>115</v>
      </c>
      <c r="Q3" s="3">
        <v>0.1</v>
      </c>
    </row>
    <row r="4" spans="1:17">
      <c r="A4" t="s">
        <v>43</v>
      </c>
      <c r="B4" t="s">
        <v>48</v>
      </c>
      <c r="C4" s="13" t="s">
        <v>49</v>
      </c>
      <c r="D4" t="s">
        <v>2</v>
      </c>
      <c r="E4" s="12">
        <v>0.05</v>
      </c>
      <c r="F4" s="12">
        <v>7.0000000000000007E-2</v>
      </c>
      <c r="G4" t="s">
        <v>50</v>
      </c>
      <c r="H4" t="s">
        <v>113</v>
      </c>
      <c r="I4" s="3">
        <v>0.32</v>
      </c>
      <c r="J4" t="s">
        <v>114</v>
      </c>
      <c r="K4" s="3">
        <v>0.22</v>
      </c>
      <c r="L4" t="s">
        <v>117</v>
      </c>
      <c r="M4" s="3">
        <v>0.18</v>
      </c>
      <c r="N4" s="14" t="s">
        <v>116</v>
      </c>
      <c r="O4" s="3">
        <v>0.12</v>
      </c>
      <c r="P4" s="14" t="s">
        <v>112</v>
      </c>
      <c r="Q4" s="3">
        <v>0.08</v>
      </c>
    </row>
    <row r="5" spans="1:17">
      <c r="A5" t="s">
        <v>51</v>
      </c>
      <c r="B5" t="s">
        <v>52</v>
      </c>
      <c r="C5" s="13" t="s">
        <v>53</v>
      </c>
      <c r="D5" t="s">
        <v>3</v>
      </c>
      <c r="E5" s="12">
        <v>0.13</v>
      </c>
      <c r="F5" s="12">
        <v>0.21</v>
      </c>
      <c r="G5" t="s">
        <v>45</v>
      </c>
      <c r="H5" s="15" t="s">
        <v>121</v>
      </c>
      <c r="I5" s="3">
        <v>0.28000000000000003</v>
      </c>
      <c r="J5" s="14" t="s">
        <v>116</v>
      </c>
      <c r="K5" s="3">
        <v>0.24</v>
      </c>
      <c r="L5" s="14" t="s">
        <v>112</v>
      </c>
      <c r="M5" s="3">
        <v>0.18</v>
      </c>
      <c r="N5" t="s">
        <v>114</v>
      </c>
      <c r="O5" s="3">
        <v>0.16</v>
      </c>
      <c r="P5" t="s">
        <v>118</v>
      </c>
      <c r="Q5" s="3">
        <v>0.1</v>
      </c>
    </row>
    <row r="6" spans="1:17">
      <c r="A6" t="s">
        <v>51</v>
      </c>
      <c r="B6" t="s">
        <v>51</v>
      </c>
      <c r="C6" s="13" t="s">
        <v>54</v>
      </c>
      <c r="D6" t="s">
        <v>1</v>
      </c>
      <c r="E6" s="12">
        <v>0.1</v>
      </c>
      <c r="F6" s="12">
        <v>0.15</v>
      </c>
      <c r="G6" t="s">
        <v>45</v>
      </c>
      <c r="H6" s="15" t="s">
        <v>121</v>
      </c>
      <c r="I6" s="3">
        <v>0.3</v>
      </c>
      <c r="J6" s="14" t="s">
        <v>116</v>
      </c>
      <c r="K6" s="3">
        <v>0.22</v>
      </c>
      <c r="L6" t="s">
        <v>114</v>
      </c>
      <c r="M6" s="3">
        <v>0.2</v>
      </c>
      <c r="N6" s="14" t="s">
        <v>112</v>
      </c>
      <c r="O6" s="3">
        <v>0.15</v>
      </c>
      <c r="P6" t="s">
        <v>119</v>
      </c>
      <c r="Q6" s="3">
        <v>0.1</v>
      </c>
    </row>
    <row r="7" spans="1:17">
      <c r="A7" t="s">
        <v>51</v>
      </c>
      <c r="B7" t="s">
        <v>55</v>
      </c>
      <c r="C7" s="13" t="s">
        <v>56</v>
      </c>
      <c r="D7" t="s">
        <v>4</v>
      </c>
      <c r="E7" s="12">
        <v>0.09</v>
      </c>
      <c r="F7" s="12">
        <v>0.14000000000000001</v>
      </c>
      <c r="G7" t="s">
        <v>45</v>
      </c>
      <c r="H7" t="s">
        <v>113</v>
      </c>
      <c r="I7" s="3">
        <v>0.3</v>
      </c>
      <c r="J7" t="s">
        <v>114</v>
      </c>
      <c r="K7" s="3">
        <v>0.2</v>
      </c>
      <c r="L7" s="14" t="s">
        <v>116</v>
      </c>
      <c r="M7" s="3">
        <v>0.18</v>
      </c>
      <c r="N7" t="s">
        <v>120</v>
      </c>
      <c r="O7" s="3">
        <v>0.14000000000000001</v>
      </c>
      <c r="P7" s="14" t="s">
        <v>112</v>
      </c>
      <c r="Q7" s="3">
        <v>0.12</v>
      </c>
    </row>
    <row r="8" spans="1:17">
      <c r="A8" t="s">
        <v>51</v>
      </c>
      <c r="B8" t="s">
        <v>57</v>
      </c>
      <c r="C8" s="13" t="s">
        <v>58</v>
      </c>
      <c r="D8" t="s">
        <v>5</v>
      </c>
      <c r="E8" s="12">
        <v>0.12</v>
      </c>
      <c r="F8" s="12">
        <v>0.19500000000000001</v>
      </c>
      <c r="G8" t="s">
        <v>45</v>
      </c>
      <c r="H8" s="15" t="s">
        <v>121</v>
      </c>
      <c r="I8" s="3">
        <v>0.28000000000000003</v>
      </c>
      <c r="J8" s="14" t="s">
        <v>116</v>
      </c>
      <c r="K8" s="3">
        <v>0.25</v>
      </c>
      <c r="L8" s="14" t="s">
        <v>112</v>
      </c>
      <c r="M8" s="3">
        <v>0.18</v>
      </c>
      <c r="N8" t="s">
        <v>118</v>
      </c>
      <c r="O8" s="3">
        <v>0.15</v>
      </c>
      <c r="P8" t="s">
        <v>114</v>
      </c>
      <c r="Q8" s="3">
        <v>0.12</v>
      </c>
    </row>
    <row r="9" spans="1:17">
      <c r="A9" t="s">
        <v>59</v>
      </c>
      <c r="B9" t="s">
        <v>59</v>
      </c>
      <c r="C9" s="13" t="s">
        <v>60</v>
      </c>
      <c r="D9" t="s">
        <v>6</v>
      </c>
      <c r="E9" s="12">
        <v>7.0000000000000007E-2</v>
      </c>
      <c r="F9" s="12">
        <v>0.105</v>
      </c>
      <c r="G9" t="s">
        <v>50</v>
      </c>
      <c r="H9" t="s">
        <v>113</v>
      </c>
      <c r="I9" s="3">
        <v>0.32</v>
      </c>
      <c r="J9" t="s">
        <v>114</v>
      </c>
      <c r="K9" s="3">
        <v>0.22</v>
      </c>
      <c r="L9" s="14" t="s">
        <v>116</v>
      </c>
      <c r="M9" s="3">
        <v>0.16</v>
      </c>
      <c r="N9" t="s">
        <v>117</v>
      </c>
      <c r="O9" s="3">
        <v>0.15</v>
      </c>
      <c r="P9" s="14" t="s">
        <v>112</v>
      </c>
      <c r="Q9" s="3">
        <v>0.1</v>
      </c>
    </row>
    <row r="10" spans="1:17">
      <c r="A10" t="s">
        <v>59</v>
      </c>
      <c r="B10" t="s">
        <v>61</v>
      </c>
      <c r="C10" s="13" t="s">
        <v>62</v>
      </c>
      <c r="D10" t="s">
        <v>7</v>
      </c>
      <c r="E10" s="12">
        <v>0.04</v>
      </c>
      <c r="F10" s="12">
        <v>0.05</v>
      </c>
      <c r="G10" t="s">
        <v>50</v>
      </c>
      <c r="H10" t="s">
        <v>113</v>
      </c>
      <c r="I10" s="3">
        <v>0.3</v>
      </c>
      <c r="J10" t="s">
        <v>114</v>
      </c>
      <c r="K10" s="3">
        <v>0.2</v>
      </c>
      <c r="L10" t="s">
        <v>120</v>
      </c>
      <c r="M10" s="3">
        <v>0.18</v>
      </c>
      <c r="N10" s="14" t="s">
        <v>116</v>
      </c>
      <c r="O10" s="3">
        <v>0.12</v>
      </c>
      <c r="P10" s="14" t="s">
        <v>112</v>
      </c>
      <c r="Q10" s="3">
        <v>0.08</v>
      </c>
    </row>
    <row r="11" spans="1:17">
      <c r="A11" t="s">
        <v>59</v>
      </c>
      <c r="B11" t="s">
        <v>63</v>
      </c>
      <c r="C11" s="13" t="s">
        <v>64</v>
      </c>
      <c r="D11" t="s">
        <v>8</v>
      </c>
      <c r="E11" s="12">
        <v>0.19</v>
      </c>
      <c r="F11" s="12">
        <v>0.35</v>
      </c>
      <c r="G11" t="s">
        <v>65</v>
      </c>
      <c r="H11" s="14" t="s">
        <v>116</v>
      </c>
      <c r="I11" s="3">
        <v>0.32</v>
      </c>
      <c r="J11" s="15" t="s">
        <v>121</v>
      </c>
      <c r="K11" s="3">
        <v>0.28000000000000003</v>
      </c>
      <c r="L11" s="14" t="s">
        <v>112</v>
      </c>
      <c r="M11" s="3">
        <v>0.18</v>
      </c>
      <c r="N11" t="s">
        <v>118</v>
      </c>
      <c r="O11" s="3">
        <v>0.12</v>
      </c>
      <c r="P11" t="s">
        <v>114</v>
      </c>
      <c r="Q11" s="3">
        <v>0.1</v>
      </c>
    </row>
    <row r="12" spans="1:17">
      <c r="A12" t="s">
        <v>59</v>
      </c>
      <c r="B12" t="s">
        <v>66</v>
      </c>
      <c r="C12" s="13" t="s">
        <v>67</v>
      </c>
      <c r="D12" t="s">
        <v>9</v>
      </c>
      <c r="E12" s="12">
        <v>0.125</v>
      </c>
      <c r="F12" s="12">
        <v>0.2</v>
      </c>
      <c r="G12" t="s">
        <v>45</v>
      </c>
      <c r="H12" s="15" t="s">
        <v>121</v>
      </c>
      <c r="I12" s="3">
        <v>0.3</v>
      </c>
      <c r="J12" s="14" t="s">
        <v>116</v>
      </c>
      <c r="K12" s="3">
        <v>0.24</v>
      </c>
      <c r="L12" t="s">
        <v>114</v>
      </c>
      <c r="M12" s="3">
        <v>0.18</v>
      </c>
      <c r="N12" s="14" t="s">
        <v>112</v>
      </c>
      <c r="O12" s="3">
        <v>0.15</v>
      </c>
      <c r="P12" t="s">
        <v>119</v>
      </c>
      <c r="Q12" s="3">
        <v>0.12</v>
      </c>
    </row>
    <row r="13" spans="1:17">
      <c r="A13" t="s">
        <v>59</v>
      </c>
      <c r="B13" t="s">
        <v>68</v>
      </c>
      <c r="C13" s="13" t="s">
        <v>69</v>
      </c>
      <c r="D13" t="s">
        <v>10</v>
      </c>
      <c r="E13" s="12">
        <v>0.185</v>
      </c>
      <c r="F13" s="12">
        <v>0.32</v>
      </c>
      <c r="G13" t="s">
        <v>65</v>
      </c>
      <c r="H13" s="14" t="s">
        <v>116</v>
      </c>
      <c r="I13" s="3">
        <v>0.3</v>
      </c>
      <c r="J13" s="15" t="s">
        <v>121</v>
      </c>
      <c r="K13" s="3">
        <v>0.26</v>
      </c>
      <c r="L13" s="14" t="s">
        <v>112</v>
      </c>
      <c r="M13" s="3">
        <v>0.2</v>
      </c>
      <c r="N13" t="s">
        <v>114</v>
      </c>
      <c r="O13" s="3">
        <v>0.14000000000000001</v>
      </c>
      <c r="P13" t="s">
        <v>118</v>
      </c>
      <c r="Q13" s="3">
        <v>0.1</v>
      </c>
    </row>
    <row r="14" spans="1:17">
      <c r="A14" t="s">
        <v>70</v>
      </c>
      <c r="B14" t="s">
        <v>71</v>
      </c>
      <c r="C14" s="13" t="s">
        <v>72</v>
      </c>
      <c r="D14" t="s">
        <v>11</v>
      </c>
      <c r="E14" s="12">
        <v>0.16500000000000001</v>
      </c>
      <c r="F14" s="12">
        <v>0.27</v>
      </c>
      <c r="G14" t="s">
        <v>65</v>
      </c>
      <c r="H14" s="14" t="s">
        <v>116</v>
      </c>
      <c r="I14" s="3">
        <v>0.3</v>
      </c>
      <c r="J14" s="15" t="s">
        <v>121</v>
      </c>
      <c r="K14" s="3">
        <v>0.28000000000000003</v>
      </c>
      <c r="L14" s="14" t="s">
        <v>112</v>
      </c>
      <c r="M14" s="3">
        <v>0.18</v>
      </c>
      <c r="N14" t="s">
        <v>114</v>
      </c>
      <c r="O14" s="3">
        <v>0.14000000000000001</v>
      </c>
      <c r="P14" t="s">
        <v>118</v>
      </c>
      <c r="Q14" s="3">
        <v>0.1</v>
      </c>
    </row>
    <row r="15" spans="1:17">
      <c r="A15" t="s">
        <v>70</v>
      </c>
      <c r="B15" t="s">
        <v>73</v>
      </c>
      <c r="C15" s="13" t="s">
        <v>74</v>
      </c>
      <c r="D15" t="s">
        <v>12</v>
      </c>
      <c r="E15" s="12">
        <v>0.08</v>
      </c>
      <c r="F15" s="12">
        <v>0.12</v>
      </c>
      <c r="G15" t="s">
        <v>45</v>
      </c>
      <c r="H15" t="s">
        <v>113</v>
      </c>
      <c r="I15" s="3">
        <v>0.32</v>
      </c>
      <c r="J15" t="s">
        <v>114</v>
      </c>
      <c r="K15" s="3">
        <v>0.2</v>
      </c>
      <c r="L15" s="14" t="s">
        <v>116</v>
      </c>
      <c r="M15" s="3">
        <v>0.18</v>
      </c>
      <c r="N15" s="14" t="s">
        <v>112</v>
      </c>
      <c r="O15" s="3">
        <v>0.14000000000000001</v>
      </c>
      <c r="P15" t="s">
        <v>120</v>
      </c>
      <c r="Q15" s="3">
        <v>0.12</v>
      </c>
    </row>
    <row r="16" spans="1:17">
      <c r="A16" t="s">
        <v>70</v>
      </c>
      <c r="B16" t="s">
        <v>75</v>
      </c>
      <c r="C16" s="13" t="s">
        <v>76</v>
      </c>
      <c r="D16" t="s">
        <v>13</v>
      </c>
      <c r="E16" s="12">
        <v>0.115</v>
      </c>
      <c r="F16" s="12">
        <v>0.185</v>
      </c>
      <c r="G16" t="s">
        <v>45</v>
      </c>
      <c r="H16" s="15" t="s">
        <v>121</v>
      </c>
      <c r="I16" s="3">
        <v>0.3</v>
      </c>
      <c r="J16" s="14" t="s">
        <v>116</v>
      </c>
      <c r="K16" s="3">
        <v>0.24</v>
      </c>
      <c r="L16" t="s">
        <v>114</v>
      </c>
      <c r="M16" s="3">
        <v>0.18</v>
      </c>
      <c r="N16" s="14" t="s">
        <v>112</v>
      </c>
      <c r="O16" s="3">
        <v>0.15</v>
      </c>
      <c r="P16" t="s">
        <v>118</v>
      </c>
      <c r="Q16" s="3">
        <v>0.12</v>
      </c>
    </row>
    <row r="17" spans="1:17">
      <c r="A17" t="s">
        <v>70</v>
      </c>
      <c r="B17" t="s">
        <v>77</v>
      </c>
      <c r="C17" s="13" t="s">
        <v>78</v>
      </c>
      <c r="D17" t="s">
        <v>0</v>
      </c>
      <c r="E17" s="12">
        <v>0.11</v>
      </c>
      <c r="F17" s="12">
        <v>0.18</v>
      </c>
      <c r="G17" t="s">
        <v>45</v>
      </c>
      <c r="H17" s="15" t="s">
        <v>121</v>
      </c>
      <c r="I17" s="3">
        <v>0.3</v>
      </c>
      <c r="J17" s="14" t="s">
        <v>116</v>
      </c>
      <c r="K17" s="3">
        <v>0.24</v>
      </c>
      <c r="L17" t="s">
        <v>114</v>
      </c>
      <c r="M17" s="3">
        <v>0.2</v>
      </c>
      <c r="N17" s="14" t="s">
        <v>112</v>
      </c>
      <c r="O17" s="3">
        <v>0.15</v>
      </c>
      <c r="P17" t="s">
        <v>119</v>
      </c>
      <c r="Q17" s="3">
        <v>0.1</v>
      </c>
    </row>
    <row r="18" spans="1:17">
      <c r="A18" t="s">
        <v>70</v>
      </c>
      <c r="B18" t="s">
        <v>79</v>
      </c>
      <c r="C18" s="13" t="s">
        <v>80</v>
      </c>
      <c r="D18" t="s">
        <v>14</v>
      </c>
      <c r="E18" s="12">
        <v>7.4999999999999997E-2</v>
      </c>
      <c r="F18" s="12">
        <v>0.11</v>
      </c>
      <c r="G18" t="s">
        <v>50</v>
      </c>
      <c r="H18" t="s">
        <v>113</v>
      </c>
      <c r="I18" s="3">
        <v>0.32</v>
      </c>
      <c r="J18" t="s">
        <v>114</v>
      </c>
      <c r="K18" s="3">
        <v>0.2</v>
      </c>
      <c r="L18" s="14" t="s">
        <v>116</v>
      </c>
      <c r="M18" s="3">
        <v>0.16</v>
      </c>
      <c r="N18" t="s">
        <v>120</v>
      </c>
      <c r="O18" s="3">
        <v>0.14000000000000001</v>
      </c>
      <c r="P18" s="14" t="s">
        <v>112</v>
      </c>
      <c r="Q18" s="3">
        <v>0.12</v>
      </c>
    </row>
    <row r="19" spans="1:17">
      <c r="A19" t="s">
        <v>70</v>
      </c>
      <c r="B19" t="s">
        <v>81</v>
      </c>
      <c r="C19" s="13" t="s">
        <v>82</v>
      </c>
      <c r="D19" t="s">
        <v>15</v>
      </c>
      <c r="E19" s="12">
        <v>8.5000000000000006E-2</v>
      </c>
      <c r="F19" s="12">
        <v>0.13</v>
      </c>
      <c r="G19" t="s">
        <v>45</v>
      </c>
      <c r="H19" t="s">
        <v>113</v>
      </c>
      <c r="I19" s="3">
        <v>0.32</v>
      </c>
      <c r="J19" t="s">
        <v>114</v>
      </c>
      <c r="K19" s="3">
        <v>0.2</v>
      </c>
      <c r="L19" t="s">
        <v>117</v>
      </c>
      <c r="M19" s="3">
        <v>0.16</v>
      </c>
      <c r="N19" s="14" t="s">
        <v>116</v>
      </c>
      <c r="O19" s="3">
        <v>0.15</v>
      </c>
      <c r="P19" s="14" t="s">
        <v>112</v>
      </c>
      <c r="Q19" s="3">
        <v>0.12</v>
      </c>
    </row>
    <row r="20" spans="1:17">
      <c r="A20" t="s">
        <v>83</v>
      </c>
      <c r="B20" t="s">
        <v>84</v>
      </c>
      <c r="C20" s="13" t="s">
        <v>85</v>
      </c>
      <c r="D20" t="s">
        <v>12</v>
      </c>
      <c r="E20" s="12">
        <v>0.05</v>
      </c>
      <c r="F20" s="12">
        <v>7.4999999999999997E-2</v>
      </c>
      <c r="G20" t="s">
        <v>50</v>
      </c>
      <c r="H20" t="s">
        <v>113</v>
      </c>
      <c r="I20" s="3">
        <v>0.3</v>
      </c>
      <c r="J20" t="s">
        <v>114</v>
      </c>
      <c r="K20" s="3">
        <v>0.2</v>
      </c>
      <c r="L20" t="s">
        <v>117</v>
      </c>
      <c r="M20" s="3">
        <v>0.18</v>
      </c>
      <c r="N20" s="14" t="s">
        <v>116</v>
      </c>
      <c r="O20" s="3">
        <v>0.1</v>
      </c>
      <c r="P20" s="14" t="s">
        <v>112</v>
      </c>
      <c r="Q20" s="3">
        <v>0.08</v>
      </c>
    </row>
    <row r="21" spans="1:17">
      <c r="A21" t="s">
        <v>83</v>
      </c>
      <c r="B21" t="s">
        <v>86</v>
      </c>
      <c r="C21" s="13" t="s">
        <v>87</v>
      </c>
      <c r="D21" t="s">
        <v>9</v>
      </c>
      <c r="E21" s="12">
        <v>7.4999999999999997E-2</v>
      </c>
      <c r="F21" s="12">
        <v>0.115</v>
      </c>
      <c r="G21" t="s">
        <v>50</v>
      </c>
      <c r="H21" t="s">
        <v>113</v>
      </c>
      <c r="I21" s="3">
        <v>0.3</v>
      </c>
      <c r="J21" t="s">
        <v>114</v>
      </c>
      <c r="K21" s="3">
        <v>0.22</v>
      </c>
      <c r="L21" t="s">
        <v>120</v>
      </c>
      <c r="M21" s="3">
        <v>0.16</v>
      </c>
      <c r="N21" s="14" t="s">
        <v>116</v>
      </c>
      <c r="O21" s="3">
        <v>0.15</v>
      </c>
      <c r="P21" s="14" t="s">
        <v>112</v>
      </c>
      <c r="Q21" s="3">
        <v>0.1</v>
      </c>
    </row>
    <row r="22" spans="1:17">
      <c r="A22" t="s">
        <v>83</v>
      </c>
      <c r="B22" t="s">
        <v>88</v>
      </c>
      <c r="C22" s="13" t="s">
        <v>89</v>
      </c>
      <c r="D22" t="s">
        <v>1</v>
      </c>
      <c r="E22" s="12">
        <v>6.5000000000000002E-2</v>
      </c>
      <c r="F22" s="12">
        <v>9.5000000000000001E-2</v>
      </c>
      <c r="G22" t="s">
        <v>50</v>
      </c>
      <c r="H22" t="s">
        <v>113</v>
      </c>
      <c r="I22" s="3">
        <v>0.32</v>
      </c>
      <c r="J22" t="s">
        <v>114</v>
      </c>
      <c r="K22" s="3">
        <v>0.22</v>
      </c>
      <c r="L22" t="s">
        <v>117</v>
      </c>
      <c r="M22" s="3">
        <v>0.15</v>
      </c>
      <c r="N22" s="14" t="s">
        <v>116</v>
      </c>
      <c r="O22" s="3">
        <v>0.14000000000000001</v>
      </c>
      <c r="P22" s="14" t="s">
        <v>112</v>
      </c>
      <c r="Q22" s="3">
        <v>0.1</v>
      </c>
    </row>
    <row r="23" spans="1:17">
      <c r="A23" t="s">
        <v>83</v>
      </c>
      <c r="B23" t="s">
        <v>90</v>
      </c>
      <c r="C23" s="13" t="s">
        <v>91</v>
      </c>
      <c r="D23" t="s">
        <v>16</v>
      </c>
      <c r="E23" s="12">
        <v>7.0000000000000007E-2</v>
      </c>
      <c r="F23" s="12">
        <v>0.1</v>
      </c>
      <c r="G23" t="s">
        <v>50</v>
      </c>
      <c r="H23" t="s">
        <v>113</v>
      </c>
      <c r="I23" s="3">
        <v>0.3</v>
      </c>
      <c r="J23" t="s">
        <v>114</v>
      </c>
      <c r="K23" s="3">
        <v>0.2</v>
      </c>
      <c r="L23" t="s">
        <v>120</v>
      </c>
      <c r="M23" s="3">
        <v>0.16</v>
      </c>
      <c r="N23" s="14" t="s">
        <v>116</v>
      </c>
      <c r="O23" s="3">
        <v>0.15</v>
      </c>
      <c r="P23" s="14" t="s">
        <v>112</v>
      </c>
      <c r="Q23" s="3">
        <v>0.1</v>
      </c>
    </row>
    <row r="24" spans="1:17">
      <c r="A24" t="s">
        <v>83</v>
      </c>
      <c r="B24" t="s">
        <v>92</v>
      </c>
      <c r="C24" s="13" t="s">
        <v>93</v>
      </c>
      <c r="D24" t="s">
        <v>17</v>
      </c>
      <c r="E24" s="12">
        <v>9.5000000000000001E-2</v>
      </c>
      <c r="F24" s="12">
        <v>0.14499999999999999</v>
      </c>
      <c r="G24" t="s">
        <v>45</v>
      </c>
      <c r="H24" t="s">
        <v>113</v>
      </c>
      <c r="I24" s="3">
        <v>0.32</v>
      </c>
      <c r="J24" t="s">
        <v>114</v>
      </c>
      <c r="K24" s="3">
        <v>0.2</v>
      </c>
      <c r="L24" s="14" t="s">
        <v>116</v>
      </c>
      <c r="M24" s="3">
        <v>0.18</v>
      </c>
      <c r="N24" t="s">
        <v>119</v>
      </c>
      <c r="O24" s="3">
        <v>0.14000000000000001</v>
      </c>
      <c r="P24" s="14" t="s">
        <v>112</v>
      </c>
      <c r="Q24" s="3">
        <v>0.12</v>
      </c>
    </row>
    <row r="25" spans="1:17">
      <c r="A25" t="s">
        <v>83</v>
      </c>
      <c r="B25" t="s">
        <v>83</v>
      </c>
      <c r="C25" s="13" t="s">
        <v>94</v>
      </c>
      <c r="D25" t="s">
        <v>18</v>
      </c>
      <c r="E25" s="12">
        <v>0.125</v>
      </c>
      <c r="F25" s="12">
        <v>0.19</v>
      </c>
      <c r="G25" t="s">
        <v>45</v>
      </c>
      <c r="H25" s="15" t="s">
        <v>121</v>
      </c>
      <c r="I25" s="3">
        <v>0.3</v>
      </c>
      <c r="J25" s="14" t="s">
        <v>116</v>
      </c>
      <c r="K25" s="3">
        <v>0.24</v>
      </c>
      <c r="L25" t="s">
        <v>114</v>
      </c>
      <c r="M25" s="3">
        <v>0.2</v>
      </c>
      <c r="N25" s="14" t="s">
        <v>112</v>
      </c>
      <c r="O25" s="3">
        <v>0.15</v>
      </c>
      <c r="P25" t="s">
        <v>118</v>
      </c>
      <c r="Q25" s="3">
        <v>0.1</v>
      </c>
    </row>
    <row r="26" spans="1:17">
      <c r="A26" t="s">
        <v>83</v>
      </c>
      <c r="B26" t="s">
        <v>95</v>
      </c>
      <c r="C26" s="13" t="s">
        <v>96</v>
      </c>
      <c r="D26" t="s">
        <v>19</v>
      </c>
      <c r="E26" s="12">
        <v>0.17</v>
      </c>
      <c r="F26" s="12">
        <v>0.28499999999999998</v>
      </c>
      <c r="G26" t="s">
        <v>65</v>
      </c>
      <c r="H26" s="14" t="s">
        <v>116</v>
      </c>
      <c r="I26" s="3">
        <v>0.3</v>
      </c>
      <c r="J26" s="15" t="s">
        <v>121</v>
      </c>
      <c r="K26" s="3">
        <v>0.28000000000000003</v>
      </c>
      <c r="L26" s="14" t="s">
        <v>112</v>
      </c>
      <c r="M26" s="3">
        <v>0.18</v>
      </c>
      <c r="N26" t="s">
        <v>118</v>
      </c>
      <c r="O26" s="3">
        <v>0.12</v>
      </c>
      <c r="P26" t="s">
        <v>114</v>
      </c>
      <c r="Q26" s="3">
        <v>0.1</v>
      </c>
    </row>
    <row r="27" spans="1:17">
      <c r="A27" t="s">
        <v>83</v>
      </c>
      <c r="B27" t="s">
        <v>97</v>
      </c>
      <c r="C27" s="13" t="s">
        <v>98</v>
      </c>
      <c r="D27" t="s">
        <v>20</v>
      </c>
      <c r="E27" s="12">
        <v>0.1</v>
      </c>
      <c r="F27" s="12">
        <v>0.155</v>
      </c>
      <c r="G27" t="s">
        <v>45</v>
      </c>
      <c r="H27" t="s">
        <v>113</v>
      </c>
      <c r="I27" s="3">
        <v>0.32</v>
      </c>
      <c r="J27" t="s">
        <v>114</v>
      </c>
      <c r="K27" s="3">
        <v>0.2</v>
      </c>
      <c r="L27" s="14" t="s">
        <v>116</v>
      </c>
      <c r="M27" s="3">
        <v>0.18</v>
      </c>
      <c r="N27" t="s">
        <v>117</v>
      </c>
      <c r="O27" s="3">
        <v>0.14000000000000001</v>
      </c>
      <c r="P27" s="14" t="s">
        <v>112</v>
      </c>
      <c r="Q27" s="3">
        <v>0.12</v>
      </c>
    </row>
    <row r="28" spans="1:17">
      <c r="A28" t="s">
        <v>99</v>
      </c>
      <c r="B28" t="s">
        <v>100</v>
      </c>
      <c r="C28" s="13" t="s">
        <v>101</v>
      </c>
      <c r="D28" t="s">
        <v>21</v>
      </c>
      <c r="E28" s="12">
        <v>5.5E-2</v>
      </c>
      <c r="F28" s="12">
        <v>0.08</v>
      </c>
      <c r="G28" t="s">
        <v>50</v>
      </c>
      <c r="H28" t="s">
        <v>113</v>
      </c>
      <c r="I28" s="3">
        <v>0.3</v>
      </c>
      <c r="J28" t="s">
        <v>114</v>
      </c>
      <c r="K28" s="3">
        <v>0.2</v>
      </c>
      <c r="L28" t="s">
        <v>120</v>
      </c>
      <c r="M28" s="3">
        <v>0.16</v>
      </c>
      <c r="N28" s="14" t="s">
        <v>116</v>
      </c>
      <c r="O28" s="3">
        <v>0.12</v>
      </c>
      <c r="P28" s="14" t="s">
        <v>112</v>
      </c>
      <c r="Q28" s="3">
        <v>0.08</v>
      </c>
    </row>
    <row r="29" spans="1:17">
      <c r="A29" t="s">
        <v>99</v>
      </c>
      <c r="B29" t="s">
        <v>99</v>
      </c>
      <c r="C29" s="13" t="s">
        <v>102</v>
      </c>
      <c r="D29" t="s">
        <v>16</v>
      </c>
      <c r="E29" s="12">
        <v>0.04</v>
      </c>
      <c r="F29" s="12">
        <v>5.5E-2</v>
      </c>
      <c r="G29" t="s">
        <v>50</v>
      </c>
      <c r="H29" t="s">
        <v>113</v>
      </c>
      <c r="I29" s="3">
        <v>0.3</v>
      </c>
      <c r="J29" t="s">
        <v>114</v>
      </c>
      <c r="K29" s="3">
        <v>0.18</v>
      </c>
      <c r="L29" t="s">
        <v>117</v>
      </c>
      <c r="M29" s="3">
        <v>0.15</v>
      </c>
      <c r="N29" s="14" t="s">
        <v>116</v>
      </c>
      <c r="O29" s="3">
        <v>0.1</v>
      </c>
      <c r="P29" s="14" t="s">
        <v>112</v>
      </c>
      <c r="Q29" s="3">
        <v>0.08</v>
      </c>
    </row>
    <row r="30" spans="1:17">
      <c r="A30" t="s">
        <v>99</v>
      </c>
      <c r="B30" t="s">
        <v>103</v>
      </c>
      <c r="C30" s="13" t="s">
        <v>104</v>
      </c>
      <c r="D30" t="s">
        <v>22</v>
      </c>
      <c r="E30" s="12">
        <v>0.06</v>
      </c>
      <c r="F30" s="12">
        <v>0.09</v>
      </c>
      <c r="G30" t="s">
        <v>50</v>
      </c>
      <c r="H30" t="s">
        <v>113</v>
      </c>
      <c r="I30" s="3">
        <v>0.32</v>
      </c>
      <c r="J30" t="s">
        <v>114</v>
      </c>
      <c r="K30" s="3">
        <v>0.2</v>
      </c>
      <c r="L30" t="s">
        <v>120</v>
      </c>
      <c r="M30" s="3">
        <v>0.15</v>
      </c>
      <c r="N30" s="14" t="s">
        <v>116</v>
      </c>
      <c r="O30" s="3">
        <v>0.14000000000000001</v>
      </c>
      <c r="P30" s="14" t="s">
        <v>112</v>
      </c>
      <c r="Q30" s="3">
        <v>0.1</v>
      </c>
    </row>
    <row r="31" spans="1:17">
      <c r="A31" t="s">
        <v>99</v>
      </c>
      <c r="B31" t="s">
        <v>105</v>
      </c>
      <c r="C31" s="13" t="s">
        <v>106</v>
      </c>
      <c r="D31" t="s">
        <v>23</v>
      </c>
      <c r="E31" s="12">
        <v>4.4999999999999998E-2</v>
      </c>
      <c r="F31" s="12">
        <v>0.06</v>
      </c>
      <c r="G31" t="s">
        <v>50</v>
      </c>
      <c r="H31" t="s">
        <v>113</v>
      </c>
      <c r="I31" s="3">
        <v>0.3</v>
      </c>
      <c r="J31" t="s">
        <v>114</v>
      </c>
      <c r="K31" s="3">
        <v>0.18</v>
      </c>
      <c r="L31" t="s">
        <v>117</v>
      </c>
      <c r="M31" s="3">
        <v>0.15</v>
      </c>
      <c r="N31" s="14" t="s">
        <v>116</v>
      </c>
      <c r="O31" s="3">
        <v>0.1</v>
      </c>
      <c r="P31" s="14" t="s">
        <v>112</v>
      </c>
      <c r="Q31" s="3">
        <v>0.08</v>
      </c>
    </row>
    <row r="32" spans="1:17">
      <c r="A32" t="s">
        <v>122</v>
      </c>
      <c r="B32" t="s">
        <v>122</v>
      </c>
      <c r="C32" s="13" t="s">
        <v>123</v>
      </c>
      <c r="D32" s="16">
        <v>102551.3</v>
      </c>
      <c r="E32" s="12">
        <v>0.19</v>
      </c>
      <c r="F32" s="12">
        <v>0.35</v>
      </c>
      <c r="G32" t="s">
        <v>65</v>
      </c>
      <c r="H32" s="14" t="s">
        <v>116</v>
      </c>
      <c r="I32" s="3">
        <v>0.32</v>
      </c>
      <c r="J32" s="15" t="s">
        <v>121</v>
      </c>
      <c r="K32" s="3">
        <v>0.28000000000000003</v>
      </c>
      <c r="L32" s="14" t="s">
        <v>112</v>
      </c>
      <c r="M32" s="3">
        <v>0.18</v>
      </c>
      <c r="N32" s="15" t="s">
        <v>118</v>
      </c>
      <c r="O32" s="3">
        <v>0.12</v>
      </c>
      <c r="P32" s="15" t="s">
        <v>114</v>
      </c>
      <c r="Q32" s="3">
        <v>0.1</v>
      </c>
    </row>
    <row r="33" spans="1:17">
      <c r="A33" t="s">
        <v>122</v>
      </c>
      <c r="B33" t="s">
        <v>124</v>
      </c>
      <c r="C33" s="13" t="s">
        <v>125</v>
      </c>
      <c r="D33" s="16">
        <v>38216.699999999997</v>
      </c>
      <c r="E33" s="12">
        <v>0.1</v>
      </c>
      <c r="F33" s="12">
        <v>0.15</v>
      </c>
      <c r="G33" t="s">
        <v>45</v>
      </c>
      <c r="H33" s="15" t="s">
        <v>121</v>
      </c>
      <c r="I33" s="3">
        <v>0.3</v>
      </c>
      <c r="J33" s="14" t="s">
        <v>116</v>
      </c>
      <c r="K33" s="3">
        <v>0.22</v>
      </c>
      <c r="L33" s="15" t="s">
        <v>114</v>
      </c>
      <c r="M33" s="3">
        <v>0.2</v>
      </c>
      <c r="N33" s="14" t="s">
        <v>112</v>
      </c>
      <c r="O33" s="3">
        <v>0.15</v>
      </c>
      <c r="P33" s="15" t="s">
        <v>119</v>
      </c>
      <c r="Q33" s="3">
        <v>0.1</v>
      </c>
    </row>
    <row r="34" spans="1:17">
      <c r="A34" t="s">
        <v>122</v>
      </c>
      <c r="B34" t="s">
        <v>126</v>
      </c>
      <c r="C34" s="13" t="s">
        <v>127</v>
      </c>
      <c r="D34" s="16">
        <v>45085</v>
      </c>
      <c r="E34" s="12">
        <v>0.12</v>
      </c>
      <c r="F34" s="12">
        <v>0.19500000000000001</v>
      </c>
      <c r="G34" t="s">
        <v>45</v>
      </c>
      <c r="H34" s="15" t="s">
        <v>121</v>
      </c>
      <c r="I34" s="3">
        <v>0.28000000000000003</v>
      </c>
      <c r="J34" s="14" t="s">
        <v>116</v>
      </c>
      <c r="K34" s="3">
        <v>0.25</v>
      </c>
      <c r="L34" s="14" t="s">
        <v>112</v>
      </c>
      <c r="M34" s="3">
        <v>0.18</v>
      </c>
      <c r="N34" s="15" t="s">
        <v>118</v>
      </c>
      <c r="O34" s="3">
        <v>0.15</v>
      </c>
      <c r="P34" s="15" t="s">
        <v>114</v>
      </c>
      <c r="Q34" s="3">
        <v>0.12</v>
      </c>
    </row>
    <row r="35" spans="1:17">
      <c r="A35" t="s">
        <v>122</v>
      </c>
      <c r="B35" t="s">
        <v>128</v>
      </c>
      <c r="C35" s="13" t="s">
        <v>129</v>
      </c>
      <c r="D35" s="16">
        <v>84500</v>
      </c>
      <c r="E35" s="12">
        <v>0.125</v>
      </c>
      <c r="F35" s="12">
        <v>0.19</v>
      </c>
      <c r="G35" t="s">
        <v>45</v>
      </c>
      <c r="H35" s="15" t="s">
        <v>121</v>
      </c>
      <c r="I35" s="3">
        <v>0.3</v>
      </c>
      <c r="J35" s="14" t="s">
        <v>116</v>
      </c>
      <c r="K35" s="3">
        <v>0.24</v>
      </c>
      <c r="L35" s="15" t="s">
        <v>114</v>
      </c>
      <c r="M35" s="3">
        <v>0.2</v>
      </c>
      <c r="N35" s="14" t="s">
        <v>112</v>
      </c>
      <c r="O35" s="3">
        <v>0.15</v>
      </c>
      <c r="P35" s="15" t="s">
        <v>118</v>
      </c>
      <c r="Q35" s="3">
        <v>0.1</v>
      </c>
    </row>
  </sheetData>
  <pageMargins left="0.7" right="0.7" top="0.75" bottom="0.75" header="0.3" footer="0.3"/>
  <headerFooter>
    <oddFooter>&amp;R_x000D_&amp;1#&amp;"Aptos"&amp;22&amp;KFF8939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616B7-D7F1-4151-963B-A585B881310A}">
  <dimension ref="A1:U35"/>
  <sheetViews>
    <sheetView topLeftCell="C22" workbookViewId="0">
      <selection activeCell="I28" sqref="A28:XFD31"/>
    </sheetView>
  </sheetViews>
  <sheetFormatPr defaultRowHeight="14.5"/>
  <cols>
    <col min="1" max="1" width="12.90625" bestFit="1" customWidth="1"/>
    <col min="2" max="2" width="14.7265625" bestFit="1" customWidth="1"/>
    <col min="3" max="3" width="34.54296875" customWidth="1"/>
    <col min="4" max="4" width="11.7265625" bestFit="1" customWidth="1"/>
    <col min="5" max="5" width="12.90625" bestFit="1" customWidth="1"/>
    <col min="6" max="6" width="12" bestFit="1" customWidth="1"/>
    <col min="7" max="7" width="9.08984375" bestFit="1" customWidth="1"/>
    <col min="8" max="8" width="7.54296875" bestFit="1" customWidth="1"/>
    <col min="9" max="9" width="11.1796875" bestFit="1" customWidth="1"/>
    <col min="10" max="12" width="7.54296875" bestFit="1" customWidth="1"/>
    <col min="13" max="13" width="11.1796875" bestFit="1" customWidth="1"/>
    <col min="14" max="14" width="7.54296875" bestFit="1" customWidth="1"/>
    <col min="15" max="15" width="11.453125" bestFit="1" customWidth="1"/>
    <col min="16" max="19" width="7.54296875" bestFit="1" customWidth="1"/>
    <col min="20" max="21" width="7.7265625" bestFit="1" customWidth="1"/>
  </cols>
  <sheetData>
    <row r="1" spans="1:21" ht="42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130</v>
      </c>
      <c r="U1" s="1" t="s">
        <v>131</v>
      </c>
    </row>
    <row r="2" spans="1:21" ht="15" thickBot="1">
      <c r="A2" s="2" t="s">
        <v>43</v>
      </c>
      <c r="B2" s="2" t="s">
        <v>43</v>
      </c>
      <c r="C2" s="8" t="s">
        <v>44</v>
      </c>
      <c r="D2" s="9">
        <v>68000</v>
      </c>
      <c r="E2" s="17">
        <v>0.08</v>
      </c>
      <c r="F2" s="17">
        <f>MIN(100%,ROUND(E2*1.6,3))</f>
        <v>0.128</v>
      </c>
      <c r="G2" s="2" t="str">
        <f t="shared" ref="G2:G35" si="0">IF(F2&gt;25%,"Tinggi",IF(F2&gt;=15%,"Sedang","Rendah"))</f>
        <v>Rendah</v>
      </c>
      <c r="H2" s="17">
        <f>MIN(100%,ROUND($E2*1.4,3))</f>
        <v>0.112</v>
      </c>
      <c r="I2" s="17">
        <f>MIN(100%,ROUND($E2*1.55,3))</f>
        <v>0.124</v>
      </c>
      <c r="J2" s="17">
        <f>MIN(100%,ROUND($E2*1.25,3))</f>
        <v>0.1</v>
      </c>
      <c r="K2" s="17">
        <f>MIN(100%,ROUND($E2*0.8,3))</f>
        <v>6.4000000000000001E-2</v>
      </c>
      <c r="L2" s="17">
        <f>MIN(100%,ROUND($E2*0.55,3))</f>
        <v>4.3999999999999997E-2</v>
      </c>
      <c r="M2" s="17">
        <f>MIN(100%,ROUND($E2*0.4,3))</f>
        <v>3.2000000000000001E-2</v>
      </c>
      <c r="N2" s="17">
        <f>MIN(100%,ROUND($E2*0.35,3))</f>
        <v>2.8000000000000001E-2</v>
      </c>
      <c r="O2" s="17">
        <f>MIN(100%,ROUND($E2*0.35,3))</f>
        <v>2.8000000000000001E-2</v>
      </c>
      <c r="P2" s="17">
        <f>MIN(100%,ROUND($E2*0.45,3))</f>
        <v>3.5999999999999997E-2</v>
      </c>
      <c r="Q2" s="17">
        <f>MIN(100%,ROUND($E2*0.7,3))</f>
        <v>5.6000000000000001E-2</v>
      </c>
      <c r="R2" s="17">
        <f>MIN(100%,ROUND($E2*1.05,3))</f>
        <v>8.4000000000000005E-2</v>
      </c>
      <c r="S2" s="17">
        <f>MIN(100%,ROUND($E2*1.3,3))</f>
        <v>0.104</v>
      </c>
      <c r="T2" s="17">
        <v>0.7</v>
      </c>
      <c r="U2" s="17">
        <f t="shared" ref="U2:U35" si="1">1-T2</f>
        <v>0.30000000000000004</v>
      </c>
    </row>
    <row r="3" spans="1:21" ht="15" thickBot="1">
      <c r="A3" s="6" t="s">
        <v>43</v>
      </c>
      <c r="B3" s="6" t="s">
        <v>46</v>
      </c>
      <c r="C3" s="7" t="s">
        <v>47</v>
      </c>
      <c r="D3" s="10">
        <v>38000</v>
      </c>
      <c r="E3" s="18">
        <v>0.09</v>
      </c>
      <c r="F3" s="18">
        <f>MIN(100%,ROUND(E3*1.6,3))</f>
        <v>0.14399999999999999</v>
      </c>
      <c r="G3" s="6" t="str">
        <f t="shared" si="0"/>
        <v>Rendah</v>
      </c>
      <c r="H3" s="18">
        <f>MIN(100%,ROUND($E3*1.4,3))</f>
        <v>0.126</v>
      </c>
      <c r="I3" s="18">
        <f>MIN(100%,ROUND($E3*1.55,3))</f>
        <v>0.14000000000000001</v>
      </c>
      <c r="J3" s="18">
        <f>MIN(100%,ROUND($E3*1.25,3))</f>
        <v>0.113</v>
      </c>
      <c r="K3" s="18">
        <f>MIN(100%,ROUND($E3*0.8,3))</f>
        <v>7.1999999999999995E-2</v>
      </c>
      <c r="L3" s="18">
        <f>MIN(100%,ROUND($E3*0.55,3))</f>
        <v>0.05</v>
      </c>
      <c r="M3" s="18">
        <f>MIN(100%,ROUND($E3*0.4,3))</f>
        <v>3.5999999999999997E-2</v>
      </c>
      <c r="N3" s="18">
        <f>MIN(100%,ROUND($E3*0.35,3))</f>
        <v>3.2000000000000001E-2</v>
      </c>
      <c r="O3" s="18">
        <f>MIN(100%,ROUND($E3*0.35,3))</f>
        <v>3.2000000000000001E-2</v>
      </c>
      <c r="P3" s="18">
        <f>MIN(100%,ROUND($E3*0.45,3))</f>
        <v>4.1000000000000002E-2</v>
      </c>
      <c r="Q3" s="18">
        <f>MIN(100%,ROUND($E3*0.7,3))</f>
        <v>6.3E-2</v>
      </c>
      <c r="R3" s="18">
        <f>MIN(100%,ROUND($E3*1.05,3))</f>
        <v>9.5000000000000001E-2</v>
      </c>
      <c r="S3" s="18">
        <f>MIN(100%,ROUND($E3*1.3,3))</f>
        <v>0.11700000000000001</v>
      </c>
      <c r="T3" s="18">
        <v>0.7</v>
      </c>
      <c r="U3" s="18">
        <f t="shared" si="1"/>
        <v>0.30000000000000004</v>
      </c>
    </row>
    <row r="4" spans="1:21" ht="15" thickBot="1">
      <c r="A4" s="6" t="s">
        <v>43</v>
      </c>
      <c r="B4" s="6" t="s">
        <v>48</v>
      </c>
      <c r="C4" s="7" t="s">
        <v>49</v>
      </c>
      <c r="D4" s="10">
        <v>14000</v>
      </c>
      <c r="E4" s="18">
        <v>0.17</v>
      </c>
      <c r="F4" s="18">
        <f>MIN(100%,ROUND(E4*1.7,3))</f>
        <v>0.28899999999999998</v>
      </c>
      <c r="G4" s="6" t="str">
        <f t="shared" si="0"/>
        <v>Tinggi</v>
      </c>
      <c r="H4" s="18">
        <f>MIN(100%,ROUND($E4*1.25,3))</f>
        <v>0.21299999999999999</v>
      </c>
      <c r="I4" s="18">
        <f>MIN(100%,ROUND($E4*1.4,3))</f>
        <v>0.23799999999999999</v>
      </c>
      <c r="J4" s="18">
        <f>MIN(100%,ROUND($E4*1.2,3))</f>
        <v>0.20399999999999999</v>
      </c>
      <c r="K4" s="18">
        <f>MIN(100%,ROUND($E4*1,3))</f>
        <v>0.17</v>
      </c>
      <c r="L4" s="18">
        <f>MIN(100%,ROUND($E4*0.85,3))</f>
        <v>0.14499999999999999</v>
      </c>
      <c r="M4" s="18">
        <f>MIN(100%,ROUND($E4*0.75,3))</f>
        <v>0.128</v>
      </c>
      <c r="N4" s="18">
        <f>MIN(100%,ROUND($E4*0.7,3))</f>
        <v>0.11899999999999999</v>
      </c>
      <c r="O4" s="18">
        <f>MIN(100%,ROUND($E4*0.75,3))</f>
        <v>0.128</v>
      </c>
      <c r="P4" s="18">
        <f>MIN(100%,ROUND($E4*0.85,3))</f>
        <v>0.14499999999999999</v>
      </c>
      <c r="Q4" s="18">
        <f>MIN(100%,ROUND($E4*1,3))</f>
        <v>0.17</v>
      </c>
      <c r="R4" s="18">
        <f>MIN(100%,ROUND($E4*1.15,3))</f>
        <v>0.19600000000000001</v>
      </c>
      <c r="S4" s="18">
        <f>MIN(100%,ROUND($E4*1.3,3))</f>
        <v>0.221</v>
      </c>
      <c r="T4" s="18">
        <v>0.55000000000000004</v>
      </c>
      <c r="U4" s="18">
        <f t="shared" si="1"/>
        <v>0.44999999999999996</v>
      </c>
    </row>
    <row r="5" spans="1:21" ht="15" thickBot="1">
      <c r="A5" s="6" t="s">
        <v>51</v>
      </c>
      <c r="B5" s="6" t="s">
        <v>52</v>
      </c>
      <c r="C5" s="7" t="s">
        <v>53</v>
      </c>
      <c r="D5" s="10">
        <v>72000</v>
      </c>
      <c r="E5" s="18">
        <v>0.1</v>
      </c>
      <c r="F5" s="18">
        <f>MIN(100%,ROUND(E5*1.6,3))</f>
        <v>0.16</v>
      </c>
      <c r="G5" s="6" t="str">
        <f t="shared" si="0"/>
        <v>Sedang</v>
      </c>
      <c r="H5" s="18">
        <f>MIN(100%,ROUND($E5*1.4,3))</f>
        <v>0.14000000000000001</v>
      </c>
      <c r="I5" s="18">
        <f>MIN(100%,ROUND($E5*1.55,3))</f>
        <v>0.155</v>
      </c>
      <c r="J5" s="18">
        <f>MIN(100%,ROUND($E5*1.25,3))</f>
        <v>0.125</v>
      </c>
      <c r="K5" s="18">
        <f>MIN(100%,ROUND($E5*0.8,3))</f>
        <v>0.08</v>
      </c>
      <c r="L5" s="18">
        <f>MIN(100%,ROUND($E5*0.55,3))</f>
        <v>5.5E-2</v>
      </c>
      <c r="M5" s="18">
        <f>MIN(100%,ROUND($E5*0.4,3))</f>
        <v>0.04</v>
      </c>
      <c r="N5" s="18">
        <f>MIN(100%,ROUND($E5*0.35,3))</f>
        <v>3.5000000000000003E-2</v>
      </c>
      <c r="O5" s="18">
        <f>MIN(100%,ROUND($E5*0.35,3))</f>
        <v>3.5000000000000003E-2</v>
      </c>
      <c r="P5" s="18">
        <f>MIN(100%,ROUND($E5*0.45,3))</f>
        <v>4.4999999999999998E-2</v>
      </c>
      <c r="Q5" s="18">
        <f>MIN(100%,ROUND($E5*0.7,3))</f>
        <v>7.0000000000000007E-2</v>
      </c>
      <c r="R5" s="18">
        <f>MIN(100%,ROUND($E5*1.05,3))</f>
        <v>0.105</v>
      </c>
      <c r="S5" s="18">
        <f>MIN(100%,ROUND($E5*1.3,3))</f>
        <v>0.13</v>
      </c>
      <c r="T5" s="18">
        <v>0.7</v>
      </c>
      <c r="U5" s="18">
        <f t="shared" si="1"/>
        <v>0.30000000000000004</v>
      </c>
    </row>
    <row r="6" spans="1:21" ht="15" thickBot="1">
      <c r="A6" s="6" t="s">
        <v>51</v>
      </c>
      <c r="B6" s="6" t="s">
        <v>51</v>
      </c>
      <c r="C6" s="7" t="s">
        <v>54</v>
      </c>
      <c r="D6" s="10">
        <v>38000</v>
      </c>
      <c r="E6" s="18">
        <v>0.11</v>
      </c>
      <c r="F6" s="18">
        <f>MIN(100%,ROUND(E6*1.65,3))</f>
        <v>0.182</v>
      </c>
      <c r="G6" s="6" t="str">
        <f t="shared" si="0"/>
        <v>Sedang</v>
      </c>
      <c r="H6" s="18">
        <f>MIN(100%,ROUND($E6*1.3,3))</f>
        <v>0.14299999999999999</v>
      </c>
      <c r="I6" s="18">
        <f>MIN(100%,ROUND($E6*1.45,3))</f>
        <v>0.16</v>
      </c>
      <c r="J6" s="18">
        <f>MIN(100%,ROUND($E6*1.2,3))</f>
        <v>0.13200000000000001</v>
      </c>
      <c r="K6" s="18">
        <f>MIN(100%,ROUND($E6*0.9,3))</f>
        <v>9.9000000000000005E-2</v>
      </c>
      <c r="L6" s="18">
        <f>MIN(100%,ROUND($E6*0.7,3))</f>
        <v>7.6999999999999999E-2</v>
      </c>
      <c r="M6" s="18">
        <f>MIN(100%,ROUND($E6*0.55,3))</f>
        <v>6.0999999999999999E-2</v>
      </c>
      <c r="N6" s="18">
        <f>MIN(100%,ROUND($E6*0.5,3))</f>
        <v>5.5E-2</v>
      </c>
      <c r="O6" s="18">
        <f>MIN(100%,ROUND($E6*0.55,3))</f>
        <v>6.0999999999999999E-2</v>
      </c>
      <c r="P6" s="18">
        <f>MIN(100%,ROUND($E6*0.65,3))</f>
        <v>7.1999999999999995E-2</v>
      </c>
      <c r="Q6" s="18">
        <f>MIN(100%,ROUND($E6*0.85,3))</f>
        <v>9.4E-2</v>
      </c>
      <c r="R6" s="18">
        <f>MIN(100%,ROUND($E6*1.05,3))</f>
        <v>0.11600000000000001</v>
      </c>
      <c r="S6" s="18">
        <f>MIN(100%,ROUND($E6*1.25,3))</f>
        <v>0.13800000000000001</v>
      </c>
      <c r="T6" s="18">
        <v>0.7</v>
      </c>
      <c r="U6" s="18">
        <f t="shared" si="1"/>
        <v>0.30000000000000004</v>
      </c>
    </row>
    <row r="7" spans="1:21" ht="15" thickBot="1">
      <c r="A7" s="6" t="s">
        <v>51</v>
      </c>
      <c r="B7" s="6" t="s">
        <v>55</v>
      </c>
      <c r="C7" s="7" t="s">
        <v>56</v>
      </c>
      <c r="D7" s="10">
        <v>39000</v>
      </c>
      <c r="E7" s="18">
        <v>0.13</v>
      </c>
      <c r="F7" s="18">
        <f>MIN(100%,ROUND(E7*1.65,3))</f>
        <v>0.215</v>
      </c>
      <c r="G7" s="6" t="str">
        <f t="shared" si="0"/>
        <v>Sedang</v>
      </c>
      <c r="H7" s="18">
        <f>MIN(100%,ROUND($E7*1.3,3))</f>
        <v>0.16900000000000001</v>
      </c>
      <c r="I7" s="18">
        <f>MIN(100%,ROUND($E7*1.45,3))</f>
        <v>0.189</v>
      </c>
      <c r="J7" s="18">
        <f>MIN(100%,ROUND($E7*1.2,3))</f>
        <v>0.156</v>
      </c>
      <c r="K7" s="18">
        <f>MIN(100%,ROUND($E7*0.9,3))</f>
        <v>0.11700000000000001</v>
      </c>
      <c r="L7" s="18">
        <f>MIN(100%,ROUND($E7*0.7,3))</f>
        <v>9.0999999999999998E-2</v>
      </c>
      <c r="M7" s="18">
        <f>MIN(100%,ROUND($E7*0.55,3))</f>
        <v>7.1999999999999995E-2</v>
      </c>
      <c r="N7" s="18">
        <f>MIN(100%,ROUND($E7*0.5,3))</f>
        <v>6.5000000000000002E-2</v>
      </c>
      <c r="O7" s="18">
        <f>MIN(100%,ROUND($E7*0.55,3))</f>
        <v>7.1999999999999995E-2</v>
      </c>
      <c r="P7" s="18">
        <f>MIN(100%,ROUND($E7*0.65,3))</f>
        <v>8.5000000000000006E-2</v>
      </c>
      <c r="Q7" s="18">
        <f>MIN(100%,ROUND($E7*0.85,3))</f>
        <v>0.111</v>
      </c>
      <c r="R7" s="18">
        <f>MIN(100%,ROUND($E7*1.05,3))</f>
        <v>0.13700000000000001</v>
      </c>
      <c r="S7" s="18">
        <f>MIN(100%,ROUND($E7*1.25,3))</f>
        <v>0.16300000000000001</v>
      </c>
      <c r="T7" s="18">
        <v>0.6</v>
      </c>
      <c r="U7" s="18">
        <f t="shared" si="1"/>
        <v>0.4</v>
      </c>
    </row>
    <row r="8" spans="1:21" ht="15" thickBot="1">
      <c r="A8" s="6" t="s">
        <v>51</v>
      </c>
      <c r="B8" s="6" t="s">
        <v>57</v>
      </c>
      <c r="C8" s="7" t="s">
        <v>58</v>
      </c>
      <c r="D8" s="10">
        <v>46000</v>
      </c>
      <c r="E8" s="18">
        <v>0.1</v>
      </c>
      <c r="F8" s="18">
        <f>MIN(100%,ROUND(E8*1.6,3))</f>
        <v>0.16</v>
      </c>
      <c r="G8" s="6" t="str">
        <f t="shared" si="0"/>
        <v>Sedang</v>
      </c>
      <c r="H8" s="18">
        <f>MIN(100%,ROUND($E8*1.4,3))</f>
        <v>0.14000000000000001</v>
      </c>
      <c r="I8" s="18">
        <f>MIN(100%,ROUND($E8*1.55,3))</f>
        <v>0.155</v>
      </c>
      <c r="J8" s="18">
        <f>MIN(100%,ROUND($E8*1.25,3))</f>
        <v>0.125</v>
      </c>
      <c r="K8" s="18">
        <f>MIN(100%,ROUND($E8*0.8,3))</f>
        <v>0.08</v>
      </c>
      <c r="L8" s="18">
        <f>MIN(100%,ROUND($E8*0.55,3))</f>
        <v>5.5E-2</v>
      </c>
      <c r="M8" s="18">
        <f>MIN(100%,ROUND($E8*0.4,3))</f>
        <v>0.04</v>
      </c>
      <c r="N8" s="18">
        <f>MIN(100%,ROUND($E8*0.35,3))</f>
        <v>3.5000000000000003E-2</v>
      </c>
      <c r="O8" s="18">
        <f>MIN(100%,ROUND($E8*0.35,3))</f>
        <v>3.5000000000000003E-2</v>
      </c>
      <c r="P8" s="18">
        <f>MIN(100%,ROUND($E8*0.45,3))</f>
        <v>4.4999999999999998E-2</v>
      </c>
      <c r="Q8" s="18">
        <f>MIN(100%,ROUND($E8*0.7,3))</f>
        <v>7.0000000000000007E-2</v>
      </c>
      <c r="R8" s="18">
        <f>MIN(100%,ROUND($E8*1.05,3))</f>
        <v>0.105</v>
      </c>
      <c r="S8" s="18">
        <f>MIN(100%,ROUND($E8*1.3,3))</f>
        <v>0.13</v>
      </c>
      <c r="T8" s="18">
        <v>0.65</v>
      </c>
      <c r="U8" s="18">
        <f t="shared" si="1"/>
        <v>0.35</v>
      </c>
    </row>
    <row r="9" spans="1:21" ht="15" thickBot="1">
      <c r="A9" s="6" t="s">
        <v>59</v>
      </c>
      <c r="B9" s="6" t="s">
        <v>59</v>
      </c>
      <c r="C9" s="7" t="s">
        <v>60</v>
      </c>
      <c r="D9" s="10">
        <v>32000</v>
      </c>
      <c r="E9" s="18">
        <v>0.15</v>
      </c>
      <c r="F9" s="18">
        <f>MIN(100%,ROUND(E9*1.65,3))</f>
        <v>0.248</v>
      </c>
      <c r="G9" s="6" t="str">
        <f t="shared" si="0"/>
        <v>Sedang</v>
      </c>
      <c r="H9" s="18">
        <f>MIN(100%,ROUND($E9*1.3,3))</f>
        <v>0.19500000000000001</v>
      </c>
      <c r="I9" s="18">
        <f>MIN(100%,ROUND($E9*1.45,3))</f>
        <v>0.218</v>
      </c>
      <c r="J9" s="18">
        <f>MIN(100%,ROUND($E9*1.2,3))</f>
        <v>0.18</v>
      </c>
      <c r="K9" s="18">
        <f>MIN(100%,ROUND($E9*0.9,3))</f>
        <v>0.13500000000000001</v>
      </c>
      <c r="L9" s="18">
        <f>MIN(100%,ROUND($E9*0.7,3))</f>
        <v>0.105</v>
      </c>
      <c r="M9" s="18">
        <f>MIN(100%,ROUND($E9*0.55,3))</f>
        <v>8.3000000000000004E-2</v>
      </c>
      <c r="N9" s="18">
        <f>MIN(100%,ROUND($E9*0.5,3))</f>
        <v>7.4999999999999997E-2</v>
      </c>
      <c r="O9" s="18">
        <f>MIN(100%,ROUND($E9*0.55,3))</f>
        <v>8.3000000000000004E-2</v>
      </c>
      <c r="P9" s="18">
        <f>MIN(100%,ROUND($E9*0.65,3))</f>
        <v>9.8000000000000004E-2</v>
      </c>
      <c r="Q9" s="18">
        <f>MIN(100%,ROUND($E9*0.85,3))</f>
        <v>0.128</v>
      </c>
      <c r="R9" s="18">
        <f>MIN(100%,ROUND($E9*1.05,3))</f>
        <v>0.158</v>
      </c>
      <c r="S9" s="18">
        <f>MIN(100%,ROUND($E9*1.25,3))</f>
        <v>0.188</v>
      </c>
      <c r="T9" s="18">
        <v>0.55000000000000004</v>
      </c>
      <c r="U9" s="18">
        <f t="shared" si="1"/>
        <v>0.44999999999999996</v>
      </c>
    </row>
    <row r="10" spans="1:21" ht="15" thickBot="1">
      <c r="A10" s="6" t="s">
        <v>59</v>
      </c>
      <c r="B10" s="6" t="s">
        <v>61</v>
      </c>
      <c r="C10" s="7" t="s">
        <v>62</v>
      </c>
      <c r="D10" s="10">
        <v>4000</v>
      </c>
      <c r="E10" s="18">
        <v>0.14000000000000001</v>
      </c>
      <c r="F10" s="18">
        <f>MIN(100%,ROUND(E10*1.7,3))</f>
        <v>0.23799999999999999</v>
      </c>
      <c r="G10" s="6" t="str">
        <f t="shared" si="0"/>
        <v>Sedang</v>
      </c>
      <c r="H10" s="18">
        <f>MIN(100%,ROUND($E10*1.25,3))</f>
        <v>0.17499999999999999</v>
      </c>
      <c r="I10" s="18">
        <f>MIN(100%,ROUND($E10*1.4,3))</f>
        <v>0.19600000000000001</v>
      </c>
      <c r="J10" s="18">
        <f>MIN(100%,ROUND($E10*1.2,3))</f>
        <v>0.16800000000000001</v>
      </c>
      <c r="K10" s="18">
        <f>MIN(100%,ROUND($E10*1,3))</f>
        <v>0.14000000000000001</v>
      </c>
      <c r="L10" s="18">
        <f>MIN(100%,ROUND($E10*0.85,3))</f>
        <v>0.11899999999999999</v>
      </c>
      <c r="M10" s="18">
        <f>MIN(100%,ROUND($E10*0.75,3))</f>
        <v>0.105</v>
      </c>
      <c r="N10" s="18">
        <f>MIN(100%,ROUND($E10*0.7,3))</f>
        <v>9.8000000000000004E-2</v>
      </c>
      <c r="O10" s="18">
        <f>MIN(100%,ROUND($E10*0.75,3))</f>
        <v>0.105</v>
      </c>
      <c r="P10" s="18">
        <f>MIN(100%,ROUND($E10*0.85,3))</f>
        <v>0.11899999999999999</v>
      </c>
      <c r="Q10" s="18">
        <f>MIN(100%,ROUND($E10*1,3))</f>
        <v>0.14000000000000001</v>
      </c>
      <c r="R10" s="18">
        <f>MIN(100%,ROUND($E10*1.15,3))</f>
        <v>0.161</v>
      </c>
      <c r="S10" s="18">
        <f t="shared" ref="S10:S16" si="2">MIN(100%,ROUND($E10*1.3,3))</f>
        <v>0.182</v>
      </c>
      <c r="T10" s="18">
        <v>0.45</v>
      </c>
      <c r="U10" s="18">
        <f t="shared" si="1"/>
        <v>0.55000000000000004</v>
      </c>
    </row>
    <row r="11" spans="1:21" ht="15" thickBot="1">
      <c r="A11" s="6" t="s">
        <v>59</v>
      </c>
      <c r="B11" s="6" t="s">
        <v>63</v>
      </c>
      <c r="C11" s="7" t="s">
        <v>64</v>
      </c>
      <c r="D11" s="10">
        <v>112000</v>
      </c>
      <c r="E11" s="18">
        <v>0.08</v>
      </c>
      <c r="F11" s="18">
        <f>MIN(100%,ROUND(E11*1.6,3))</f>
        <v>0.128</v>
      </c>
      <c r="G11" s="6" t="str">
        <f t="shared" si="0"/>
        <v>Rendah</v>
      </c>
      <c r="H11" s="18">
        <f>MIN(100%,ROUND($E11*1.4,3))</f>
        <v>0.112</v>
      </c>
      <c r="I11" s="18">
        <f>MIN(100%,ROUND($E11*1.55,3))</f>
        <v>0.124</v>
      </c>
      <c r="J11" s="18">
        <f>MIN(100%,ROUND($E11*1.25,3))</f>
        <v>0.1</v>
      </c>
      <c r="K11" s="18">
        <f>MIN(100%,ROUND($E11*0.8,3))</f>
        <v>6.4000000000000001E-2</v>
      </c>
      <c r="L11" s="18">
        <f>MIN(100%,ROUND($E11*0.55,3))</f>
        <v>4.3999999999999997E-2</v>
      </c>
      <c r="M11" s="18">
        <f>MIN(100%,ROUND($E11*0.4,3))</f>
        <v>3.2000000000000001E-2</v>
      </c>
      <c r="N11" s="18">
        <f t="shared" ref="N11:O14" si="3">MIN(100%,ROUND($E11*0.35,3))</f>
        <v>2.8000000000000001E-2</v>
      </c>
      <c r="O11" s="18">
        <f t="shared" si="3"/>
        <v>2.8000000000000001E-2</v>
      </c>
      <c r="P11" s="18">
        <f>MIN(100%,ROUND($E11*0.45,3))</f>
        <v>3.5999999999999997E-2</v>
      </c>
      <c r="Q11" s="18">
        <f>MIN(100%,ROUND($E11*0.7,3))</f>
        <v>5.6000000000000001E-2</v>
      </c>
      <c r="R11" s="18">
        <f>MIN(100%,ROUND($E11*1.05,3))</f>
        <v>8.4000000000000005E-2</v>
      </c>
      <c r="S11" s="18">
        <f t="shared" si="2"/>
        <v>0.104</v>
      </c>
      <c r="T11" s="18">
        <v>0.75</v>
      </c>
      <c r="U11" s="18">
        <f t="shared" si="1"/>
        <v>0.25</v>
      </c>
    </row>
    <row r="12" spans="1:21" ht="15" thickBot="1">
      <c r="A12" s="6" t="s">
        <v>59</v>
      </c>
      <c r="B12" s="6" t="s">
        <v>66</v>
      </c>
      <c r="C12" s="7" t="s">
        <v>67</v>
      </c>
      <c r="D12" s="10">
        <v>28000</v>
      </c>
      <c r="E12" s="18">
        <v>0.09</v>
      </c>
      <c r="F12" s="18">
        <f>MIN(100%,ROUND(E12*1.6,3))</f>
        <v>0.14399999999999999</v>
      </c>
      <c r="G12" s="6" t="str">
        <f t="shared" si="0"/>
        <v>Rendah</v>
      </c>
      <c r="H12" s="18">
        <f>MIN(100%,ROUND($E12*1.4,3))</f>
        <v>0.126</v>
      </c>
      <c r="I12" s="18">
        <f>MIN(100%,ROUND($E12*1.55,3))</f>
        <v>0.14000000000000001</v>
      </c>
      <c r="J12" s="18">
        <f>MIN(100%,ROUND($E12*1.25,3))</f>
        <v>0.113</v>
      </c>
      <c r="K12" s="18">
        <f>MIN(100%,ROUND($E12*0.8,3))</f>
        <v>7.1999999999999995E-2</v>
      </c>
      <c r="L12" s="18">
        <f>MIN(100%,ROUND($E12*0.55,3))</f>
        <v>0.05</v>
      </c>
      <c r="M12" s="18">
        <f>MIN(100%,ROUND($E12*0.4,3))</f>
        <v>3.5999999999999997E-2</v>
      </c>
      <c r="N12" s="18">
        <f t="shared" si="3"/>
        <v>3.2000000000000001E-2</v>
      </c>
      <c r="O12" s="18">
        <f t="shared" si="3"/>
        <v>3.2000000000000001E-2</v>
      </c>
      <c r="P12" s="18">
        <f>MIN(100%,ROUND($E12*0.45,3))</f>
        <v>4.1000000000000002E-2</v>
      </c>
      <c r="Q12" s="18">
        <f>MIN(100%,ROUND($E12*0.7,3))</f>
        <v>6.3E-2</v>
      </c>
      <c r="R12" s="18">
        <f>MIN(100%,ROUND($E12*1.05,3))</f>
        <v>9.5000000000000001E-2</v>
      </c>
      <c r="S12" s="18">
        <f t="shared" si="2"/>
        <v>0.11700000000000001</v>
      </c>
      <c r="T12" s="18">
        <v>0.7</v>
      </c>
      <c r="U12" s="18">
        <f t="shared" si="1"/>
        <v>0.30000000000000004</v>
      </c>
    </row>
    <row r="13" spans="1:21" ht="15" thickBot="1">
      <c r="A13" s="6" t="s">
        <v>59</v>
      </c>
      <c r="B13" s="6" t="s">
        <v>68</v>
      </c>
      <c r="C13" s="7" t="s">
        <v>69</v>
      </c>
      <c r="D13" s="10">
        <v>138000</v>
      </c>
      <c r="E13" s="18">
        <v>7.0000000000000007E-2</v>
      </c>
      <c r="F13" s="18">
        <f>MIN(100%,ROUND(E13*1.6,3))</f>
        <v>0.112</v>
      </c>
      <c r="G13" s="6" t="str">
        <f t="shared" si="0"/>
        <v>Rendah</v>
      </c>
      <c r="H13" s="18">
        <f>MIN(100%,ROUND($E13*1.4,3))</f>
        <v>9.8000000000000004E-2</v>
      </c>
      <c r="I13" s="18">
        <f>MIN(100%,ROUND($E13*1.55,3))</f>
        <v>0.109</v>
      </c>
      <c r="J13" s="18">
        <f>MIN(100%,ROUND($E13*1.25,3))</f>
        <v>8.7999999999999995E-2</v>
      </c>
      <c r="K13" s="18">
        <f>MIN(100%,ROUND($E13*0.8,3))</f>
        <v>5.6000000000000001E-2</v>
      </c>
      <c r="L13" s="18">
        <f>MIN(100%,ROUND($E13*0.55,3))</f>
        <v>3.9E-2</v>
      </c>
      <c r="M13" s="18">
        <f>MIN(100%,ROUND($E13*0.4,3))</f>
        <v>2.8000000000000001E-2</v>
      </c>
      <c r="N13" s="18">
        <f t="shared" si="3"/>
        <v>2.5000000000000001E-2</v>
      </c>
      <c r="O13" s="18">
        <f t="shared" si="3"/>
        <v>2.5000000000000001E-2</v>
      </c>
      <c r="P13" s="18">
        <f>MIN(100%,ROUND($E13*0.45,3))</f>
        <v>3.2000000000000001E-2</v>
      </c>
      <c r="Q13" s="18">
        <f>MIN(100%,ROUND($E13*0.7,3))</f>
        <v>4.9000000000000002E-2</v>
      </c>
      <c r="R13" s="18">
        <f>MIN(100%,ROUND($E13*1.05,3))</f>
        <v>7.3999999999999996E-2</v>
      </c>
      <c r="S13" s="18">
        <f t="shared" si="2"/>
        <v>9.0999999999999998E-2</v>
      </c>
      <c r="T13" s="18">
        <v>0.75</v>
      </c>
      <c r="U13" s="18">
        <f t="shared" si="1"/>
        <v>0.25</v>
      </c>
    </row>
    <row r="14" spans="1:21" ht="15" thickBot="1">
      <c r="A14" s="6" t="s">
        <v>70</v>
      </c>
      <c r="B14" s="6" t="s">
        <v>71</v>
      </c>
      <c r="C14" s="7" t="s">
        <v>72</v>
      </c>
      <c r="D14" s="10">
        <v>115000</v>
      </c>
      <c r="E14" s="18">
        <v>0.08</v>
      </c>
      <c r="F14" s="18">
        <f>MIN(100%,ROUND(E14*1.6,3))</f>
        <v>0.128</v>
      </c>
      <c r="G14" s="6" t="str">
        <f t="shared" si="0"/>
        <v>Rendah</v>
      </c>
      <c r="H14" s="18">
        <f>MIN(100%,ROUND($E14*1.4,3))</f>
        <v>0.112</v>
      </c>
      <c r="I14" s="18">
        <f>MIN(100%,ROUND($E14*1.55,3))</f>
        <v>0.124</v>
      </c>
      <c r="J14" s="18">
        <f>MIN(100%,ROUND($E14*1.25,3))</f>
        <v>0.1</v>
      </c>
      <c r="K14" s="18">
        <f>MIN(100%,ROUND($E14*0.8,3))</f>
        <v>6.4000000000000001E-2</v>
      </c>
      <c r="L14" s="18">
        <f>MIN(100%,ROUND($E14*0.55,3))</f>
        <v>4.3999999999999997E-2</v>
      </c>
      <c r="M14" s="18">
        <f>MIN(100%,ROUND($E14*0.4,3))</f>
        <v>3.2000000000000001E-2</v>
      </c>
      <c r="N14" s="18">
        <f t="shared" si="3"/>
        <v>2.8000000000000001E-2</v>
      </c>
      <c r="O14" s="18">
        <f t="shared" si="3"/>
        <v>2.8000000000000001E-2</v>
      </c>
      <c r="P14" s="18">
        <f>MIN(100%,ROUND($E14*0.45,3))</f>
        <v>3.5999999999999997E-2</v>
      </c>
      <c r="Q14" s="18">
        <f>MIN(100%,ROUND($E14*0.7,3))</f>
        <v>5.6000000000000001E-2</v>
      </c>
      <c r="R14" s="18">
        <f>MIN(100%,ROUND($E14*1.05,3))</f>
        <v>8.4000000000000005E-2</v>
      </c>
      <c r="S14" s="18">
        <f t="shared" si="2"/>
        <v>0.104</v>
      </c>
      <c r="T14" s="18">
        <v>0.75</v>
      </c>
      <c r="U14" s="18">
        <f t="shared" si="1"/>
        <v>0.25</v>
      </c>
    </row>
    <row r="15" spans="1:21" ht="15" thickBot="1">
      <c r="A15" s="6" t="s">
        <v>70</v>
      </c>
      <c r="B15" s="6" t="s">
        <v>73</v>
      </c>
      <c r="C15" s="7" t="s">
        <v>74</v>
      </c>
      <c r="D15" s="10">
        <v>48000</v>
      </c>
      <c r="E15" s="18">
        <v>0.14000000000000001</v>
      </c>
      <c r="F15" s="18">
        <f>MIN(100%,ROUND(E15*1.7,3))</f>
        <v>0.23799999999999999</v>
      </c>
      <c r="G15" s="6" t="str">
        <f t="shared" si="0"/>
        <v>Sedang</v>
      </c>
      <c r="H15" s="18">
        <f>MIN(100%,ROUND($E15*1.25,3))</f>
        <v>0.17499999999999999</v>
      </c>
      <c r="I15" s="18">
        <f>MIN(100%,ROUND($E15*1.4,3))</f>
        <v>0.19600000000000001</v>
      </c>
      <c r="J15" s="18">
        <f>MIN(100%,ROUND($E15*1.2,3))</f>
        <v>0.16800000000000001</v>
      </c>
      <c r="K15" s="18">
        <f>MIN(100%,ROUND($E15*1,3))</f>
        <v>0.14000000000000001</v>
      </c>
      <c r="L15" s="18">
        <f>MIN(100%,ROUND($E15*0.85,3))</f>
        <v>0.11899999999999999</v>
      </c>
      <c r="M15" s="18">
        <f>MIN(100%,ROUND($E15*0.75,3))</f>
        <v>0.105</v>
      </c>
      <c r="N15" s="18">
        <f>MIN(100%,ROUND($E15*0.7,3))</f>
        <v>9.8000000000000004E-2</v>
      </c>
      <c r="O15" s="18">
        <f>MIN(100%,ROUND($E15*0.75,3))</f>
        <v>0.105</v>
      </c>
      <c r="P15" s="18">
        <f>MIN(100%,ROUND($E15*0.85,3))</f>
        <v>0.11899999999999999</v>
      </c>
      <c r="Q15" s="18">
        <f>MIN(100%,ROUND($E15*1,3))</f>
        <v>0.14000000000000001</v>
      </c>
      <c r="R15" s="18">
        <f>MIN(100%,ROUND($E15*1.15,3))</f>
        <v>0.161</v>
      </c>
      <c r="S15" s="18">
        <f t="shared" si="2"/>
        <v>0.182</v>
      </c>
      <c r="T15" s="18">
        <v>0.6</v>
      </c>
      <c r="U15" s="18">
        <f t="shared" si="1"/>
        <v>0.4</v>
      </c>
    </row>
    <row r="16" spans="1:21" ht="15" thickBot="1">
      <c r="A16" s="6" t="s">
        <v>70</v>
      </c>
      <c r="B16" s="6" t="s">
        <v>75</v>
      </c>
      <c r="C16" s="7" t="s">
        <v>76</v>
      </c>
      <c r="D16" s="10">
        <v>52000</v>
      </c>
      <c r="E16" s="18">
        <v>0.08</v>
      </c>
      <c r="F16" s="18">
        <f>MIN(100%,ROUND(E16*1.6,3))</f>
        <v>0.128</v>
      </c>
      <c r="G16" s="6" t="str">
        <f t="shared" si="0"/>
        <v>Rendah</v>
      </c>
      <c r="H16" s="18">
        <f>MIN(100%,ROUND($E16*1.4,3))</f>
        <v>0.112</v>
      </c>
      <c r="I16" s="18">
        <f>MIN(100%,ROUND($E16*1.55,3))</f>
        <v>0.124</v>
      </c>
      <c r="J16" s="18">
        <f>MIN(100%,ROUND($E16*1.25,3))</f>
        <v>0.1</v>
      </c>
      <c r="K16" s="18">
        <f>MIN(100%,ROUND($E16*0.8,3))</f>
        <v>6.4000000000000001E-2</v>
      </c>
      <c r="L16" s="18">
        <f>MIN(100%,ROUND($E16*0.55,3))</f>
        <v>4.3999999999999997E-2</v>
      </c>
      <c r="M16" s="18">
        <f>MIN(100%,ROUND($E16*0.4,3))</f>
        <v>3.2000000000000001E-2</v>
      </c>
      <c r="N16" s="18">
        <f>MIN(100%,ROUND($E16*0.35,3))</f>
        <v>2.8000000000000001E-2</v>
      </c>
      <c r="O16" s="18">
        <f>MIN(100%,ROUND($E16*0.35,3))</f>
        <v>2.8000000000000001E-2</v>
      </c>
      <c r="P16" s="18">
        <f>MIN(100%,ROUND($E16*0.45,3))</f>
        <v>3.5999999999999997E-2</v>
      </c>
      <c r="Q16" s="18">
        <f>MIN(100%,ROUND($E16*0.7,3))</f>
        <v>5.6000000000000001E-2</v>
      </c>
      <c r="R16" s="18">
        <f>MIN(100%,ROUND($E16*1.05,3))</f>
        <v>8.4000000000000005E-2</v>
      </c>
      <c r="S16" s="18">
        <f t="shared" si="2"/>
        <v>0.104</v>
      </c>
      <c r="T16" s="18">
        <v>0.7</v>
      </c>
      <c r="U16" s="18">
        <f t="shared" si="1"/>
        <v>0.30000000000000004</v>
      </c>
    </row>
    <row r="17" spans="1:21" ht="15" thickBot="1">
      <c r="A17" s="6" t="s">
        <v>70</v>
      </c>
      <c r="B17" s="6" t="s">
        <v>77</v>
      </c>
      <c r="C17" s="7" t="s">
        <v>78</v>
      </c>
      <c r="D17" s="10">
        <v>68000</v>
      </c>
      <c r="E17" s="18">
        <v>0.1</v>
      </c>
      <c r="F17" s="18">
        <f>MIN(100%,ROUND(E17*1.65,3))</f>
        <v>0.16500000000000001</v>
      </c>
      <c r="G17" s="6" t="str">
        <f t="shared" si="0"/>
        <v>Sedang</v>
      </c>
      <c r="H17" s="18">
        <f>MIN(100%,ROUND($E17*1.3,3))</f>
        <v>0.13</v>
      </c>
      <c r="I17" s="18">
        <f>MIN(100%,ROUND($E17*1.45,3))</f>
        <v>0.14499999999999999</v>
      </c>
      <c r="J17" s="18">
        <f>MIN(100%,ROUND($E17*1.2,3))</f>
        <v>0.12</v>
      </c>
      <c r="K17" s="18">
        <f>MIN(100%,ROUND($E17*0.9,3))</f>
        <v>0.09</v>
      </c>
      <c r="L17" s="18">
        <f>MIN(100%,ROUND($E17*0.7,3))</f>
        <v>7.0000000000000007E-2</v>
      </c>
      <c r="M17" s="18">
        <f>MIN(100%,ROUND($E17*0.55,3))</f>
        <v>5.5E-2</v>
      </c>
      <c r="N17" s="18">
        <f>MIN(100%,ROUND($E17*0.5,3))</f>
        <v>0.05</v>
      </c>
      <c r="O17" s="18">
        <f>MIN(100%,ROUND($E17*0.55,3))</f>
        <v>5.5E-2</v>
      </c>
      <c r="P17" s="18">
        <f>MIN(100%,ROUND($E17*0.65,3))</f>
        <v>6.5000000000000002E-2</v>
      </c>
      <c r="Q17" s="18">
        <f>MIN(100%,ROUND($E17*0.85,3))</f>
        <v>8.5000000000000006E-2</v>
      </c>
      <c r="R17" s="18">
        <f>MIN(100%,ROUND($E17*1.05,3))</f>
        <v>0.105</v>
      </c>
      <c r="S17" s="18">
        <f>MIN(100%,ROUND($E17*1.25,3))</f>
        <v>0.125</v>
      </c>
      <c r="T17" s="18">
        <v>0.7</v>
      </c>
      <c r="U17" s="18">
        <f t="shared" si="1"/>
        <v>0.30000000000000004</v>
      </c>
    </row>
    <row r="18" spans="1:21" ht="15" thickBot="1">
      <c r="A18" s="6" t="s">
        <v>70</v>
      </c>
      <c r="B18" s="6" t="s">
        <v>79</v>
      </c>
      <c r="C18" s="7" t="s">
        <v>80</v>
      </c>
      <c r="D18" s="10">
        <v>49000</v>
      </c>
      <c r="E18" s="18">
        <v>0.15</v>
      </c>
      <c r="F18" s="18">
        <f>MIN(100%,ROUND(E18*1.7,3))</f>
        <v>0.255</v>
      </c>
      <c r="G18" s="6" t="str">
        <f t="shared" si="0"/>
        <v>Tinggi</v>
      </c>
      <c r="H18" s="18">
        <f>MIN(100%,ROUND($E18*1.25,3))</f>
        <v>0.188</v>
      </c>
      <c r="I18" s="18">
        <f>MIN(100%,ROUND($E18*1.4,3))</f>
        <v>0.21</v>
      </c>
      <c r="J18" s="18">
        <f>MIN(100%,ROUND($E18*1.2,3))</f>
        <v>0.18</v>
      </c>
      <c r="K18" s="18">
        <f>MIN(100%,ROUND($E18*1,3))</f>
        <v>0.15</v>
      </c>
      <c r="L18" s="18">
        <f>MIN(100%,ROUND($E18*0.85,3))</f>
        <v>0.128</v>
      </c>
      <c r="M18" s="18">
        <f>MIN(100%,ROUND($E18*0.75,3))</f>
        <v>0.113</v>
      </c>
      <c r="N18" s="18">
        <f>MIN(100%,ROUND($E18*0.7,3))</f>
        <v>0.105</v>
      </c>
      <c r="O18" s="18">
        <f>MIN(100%,ROUND($E18*0.75,3))</f>
        <v>0.113</v>
      </c>
      <c r="P18" s="18">
        <f>MIN(100%,ROUND($E18*0.85,3))</f>
        <v>0.128</v>
      </c>
      <c r="Q18" s="18">
        <f>MIN(100%,ROUND($E18*1,3))</f>
        <v>0.15</v>
      </c>
      <c r="R18" s="18">
        <f>MIN(100%,ROUND($E18*1.15,3))</f>
        <v>0.17299999999999999</v>
      </c>
      <c r="S18" s="18">
        <f>MIN(100%,ROUND($E18*1.3,3))</f>
        <v>0.19500000000000001</v>
      </c>
      <c r="T18" s="18">
        <v>0.55000000000000004</v>
      </c>
      <c r="U18" s="18">
        <f t="shared" si="1"/>
        <v>0.44999999999999996</v>
      </c>
    </row>
    <row r="19" spans="1:21" ht="15" thickBot="1">
      <c r="A19" s="6" t="s">
        <v>70</v>
      </c>
      <c r="B19" s="6" t="s">
        <v>81</v>
      </c>
      <c r="C19" s="7" t="s">
        <v>82</v>
      </c>
      <c r="D19" s="10">
        <v>62000</v>
      </c>
      <c r="E19" s="18">
        <v>0.12</v>
      </c>
      <c r="F19" s="18">
        <f>MIN(100%,ROUND(E19*1.65,3))</f>
        <v>0.19800000000000001</v>
      </c>
      <c r="G19" s="6" t="str">
        <f t="shared" si="0"/>
        <v>Sedang</v>
      </c>
      <c r="H19" s="18">
        <f>MIN(100%,ROUND($E19*1.3,3))</f>
        <v>0.156</v>
      </c>
      <c r="I19" s="18">
        <f>MIN(100%,ROUND($E19*1.45,3))</f>
        <v>0.17399999999999999</v>
      </c>
      <c r="J19" s="18">
        <f>MIN(100%,ROUND($E19*1.2,3))</f>
        <v>0.14399999999999999</v>
      </c>
      <c r="K19" s="18">
        <f>MIN(100%,ROUND($E19*0.9,3))</f>
        <v>0.108</v>
      </c>
      <c r="L19" s="18">
        <f>MIN(100%,ROUND($E19*0.7,3))</f>
        <v>8.4000000000000005E-2</v>
      </c>
      <c r="M19" s="18">
        <f>MIN(100%,ROUND($E19*0.55,3))</f>
        <v>6.6000000000000003E-2</v>
      </c>
      <c r="N19" s="18">
        <f>MIN(100%,ROUND($E19*0.5,3))</f>
        <v>0.06</v>
      </c>
      <c r="O19" s="18">
        <f>MIN(100%,ROUND($E19*0.55,3))</f>
        <v>6.6000000000000003E-2</v>
      </c>
      <c r="P19" s="18">
        <f>MIN(100%,ROUND($E19*0.65,3))</f>
        <v>7.8E-2</v>
      </c>
      <c r="Q19" s="18">
        <f>MIN(100%,ROUND($E19*0.85,3))</f>
        <v>0.10199999999999999</v>
      </c>
      <c r="R19" s="18">
        <f>MIN(100%,ROUND($E19*1.05,3))</f>
        <v>0.126</v>
      </c>
      <c r="S19" s="18">
        <f>MIN(100%,ROUND($E19*1.25,3))</f>
        <v>0.15</v>
      </c>
      <c r="T19" s="18">
        <v>0.5</v>
      </c>
      <c r="U19" s="18">
        <f t="shared" si="1"/>
        <v>0.5</v>
      </c>
    </row>
    <row r="20" spans="1:21" ht="15" thickBot="1">
      <c r="A20" s="6" t="s">
        <v>83</v>
      </c>
      <c r="B20" s="6" t="s">
        <v>84</v>
      </c>
      <c r="C20" s="7" t="s">
        <v>85</v>
      </c>
      <c r="D20" s="10">
        <v>48000</v>
      </c>
      <c r="E20" s="18">
        <v>0.1</v>
      </c>
      <c r="F20" s="18">
        <f>MIN(100%,ROUND(E20*1.65,3))</f>
        <v>0.16500000000000001</v>
      </c>
      <c r="G20" s="6" t="str">
        <f t="shared" si="0"/>
        <v>Sedang</v>
      </c>
      <c r="H20" s="18">
        <f>MIN(100%,ROUND($E20*1.3,3))</f>
        <v>0.13</v>
      </c>
      <c r="I20" s="18">
        <f>MIN(100%,ROUND($E20*1.45,3))</f>
        <v>0.14499999999999999</v>
      </c>
      <c r="J20" s="18">
        <f>MIN(100%,ROUND($E20*1.2,3))</f>
        <v>0.12</v>
      </c>
      <c r="K20" s="18">
        <f>MIN(100%,ROUND($E20*0.9,3))</f>
        <v>0.09</v>
      </c>
      <c r="L20" s="18">
        <f>MIN(100%,ROUND($E20*0.7,3))</f>
        <v>7.0000000000000007E-2</v>
      </c>
      <c r="M20" s="18">
        <f>MIN(100%,ROUND($E20*0.55,3))</f>
        <v>5.5E-2</v>
      </c>
      <c r="N20" s="18">
        <f>MIN(100%,ROUND($E20*0.5,3))</f>
        <v>0.05</v>
      </c>
      <c r="O20" s="18">
        <f>MIN(100%,ROUND($E20*0.55,3))</f>
        <v>5.5E-2</v>
      </c>
      <c r="P20" s="18">
        <f>MIN(100%,ROUND($E20*0.65,3))</f>
        <v>6.5000000000000002E-2</v>
      </c>
      <c r="Q20" s="18">
        <f>MIN(100%,ROUND($E20*0.85,3))</f>
        <v>8.5000000000000006E-2</v>
      </c>
      <c r="R20" s="18">
        <f>MIN(100%,ROUND($E20*1.05,3))</f>
        <v>0.105</v>
      </c>
      <c r="S20" s="18">
        <f>MIN(100%,ROUND($E20*1.25,3))</f>
        <v>0.125</v>
      </c>
      <c r="T20" s="18">
        <v>0.45</v>
      </c>
      <c r="U20" s="18">
        <f t="shared" si="1"/>
        <v>0.55000000000000004</v>
      </c>
    </row>
    <row r="21" spans="1:21" ht="15" thickBot="1">
      <c r="A21" s="6" t="s">
        <v>83</v>
      </c>
      <c r="B21" s="6" t="s">
        <v>86</v>
      </c>
      <c r="C21" s="7" t="s">
        <v>87</v>
      </c>
      <c r="D21" s="10">
        <v>28000</v>
      </c>
      <c r="E21" s="18">
        <v>0.08</v>
      </c>
      <c r="F21" s="18">
        <f>MIN(100%,ROUND(E21*1.6,3))</f>
        <v>0.128</v>
      </c>
      <c r="G21" s="6" t="str">
        <f t="shared" si="0"/>
        <v>Rendah</v>
      </c>
      <c r="H21" s="18">
        <f>MIN(100%,ROUND($E21*1.4,3))</f>
        <v>0.112</v>
      </c>
      <c r="I21" s="18">
        <f>MIN(100%,ROUND($E21*1.55,3))</f>
        <v>0.124</v>
      </c>
      <c r="J21" s="18">
        <f>MIN(100%,ROUND($E21*1.25,3))</f>
        <v>0.1</v>
      </c>
      <c r="K21" s="18">
        <f>MIN(100%,ROUND($E21*0.8,3))</f>
        <v>6.4000000000000001E-2</v>
      </c>
      <c r="L21" s="18">
        <f>MIN(100%,ROUND($E21*0.55,3))</f>
        <v>4.3999999999999997E-2</v>
      </c>
      <c r="M21" s="18">
        <f>MIN(100%,ROUND($E21*0.4,3))</f>
        <v>3.2000000000000001E-2</v>
      </c>
      <c r="N21" s="18">
        <f>MIN(100%,ROUND($E21*0.35,3))</f>
        <v>2.8000000000000001E-2</v>
      </c>
      <c r="O21" s="18">
        <f>MIN(100%,ROUND($E21*0.35,3))</f>
        <v>2.8000000000000001E-2</v>
      </c>
      <c r="P21" s="18">
        <f>MIN(100%,ROUND($E21*0.45,3))</f>
        <v>3.5999999999999997E-2</v>
      </c>
      <c r="Q21" s="18">
        <f>MIN(100%,ROUND($E21*0.7,3))</f>
        <v>5.6000000000000001E-2</v>
      </c>
      <c r="R21" s="18">
        <f>MIN(100%,ROUND($E21*1.05,3))</f>
        <v>8.4000000000000005E-2</v>
      </c>
      <c r="S21" s="18">
        <f>MIN(100%,ROUND($E21*1.3,3))</f>
        <v>0.104</v>
      </c>
      <c r="T21" s="18">
        <v>0.55000000000000004</v>
      </c>
      <c r="U21" s="18">
        <f t="shared" si="1"/>
        <v>0.44999999999999996</v>
      </c>
    </row>
    <row r="22" spans="1:21" ht="15" thickBot="1">
      <c r="A22" s="6" t="s">
        <v>83</v>
      </c>
      <c r="B22" s="6" t="s">
        <v>88</v>
      </c>
      <c r="C22" s="7" t="s">
        <v>89</v>
      </c>
      <c r="D22" s="10">
        <v>38000</v>
      </c>
      <c r="E22" s="18">
        <v>0.15</v>
      </c>
      <c r="F22" s="18">
        <f>MIN(100%,ROUND(E22*1.7,3))</f>
        <v>0.255</v>
      </c>
      <c r="G22" s="6" t="str">
        <f t="shared" si="0"/>
        <v>Tinggi</v>
      </c>
      <c r="H22" s="18">
        <f>MIN(100%,ROUND($E22*1.25,3))</f>
        <v>0.188</v>
      </c>
      <c r="I22" s="18">
        <f>MIN(100%,ROUND($E22*1.4,3))</f>
        <v>0.21</v>
      </c>
      <c r="J22" s="18">
        <f>MIN(100%,ROUND($E22*1.2,3))</f>
        <v>0.18</v>
      </c>
      <c r="K22" s="18">
        <f>MIN(100%,ROUND($E22*1,3))</f>
        <v>0.15</v>
      </c>
      <c r="L22" s="18">
        <f>MIN(100%,ROUND($E22*0.85,3))</f>
        <v>0.128</v>
      </c>
      <c r="M22" s="18">
        <f>MIN(100%,ROUND($E22*0.75,3))</f>
        <v>0.113</v>
      </c>
      <c r="N22" s="18">
        <f>MIN(100%,ROUND($E22*0.7,3))</f>
        <v>0.105</v>
      </c>
      <c r="O22" s="18">
        <f>MIN(100%,ROUND($E22*0.75,3))</f>
        <v>0.113</v>
      </c>
      <c r="P22" s="18">
        <f>MIN(100%,ROUND($E22*0.85,3))</f>
        <v>0.128</v>
      </c>
      <c r="Q22" s="18">
        <f>MIN(100%,ROUND($E22*1,3))</f>
        <v>0.15</v>
      </c>
      <c r="R22" s="18">
        <f>MIN(100%,ROUND($E22*1.15,3))</f>
        <v>0.17299999999999999</v>
      </c>
      <c r="S22" s="18">
        <f>MIN(100%,ROUND($E22*1.3,3))</f>
        <v>0.19500000000000001</v>
      </c>
      <c r="T22" s="18">
        <v>0.55000000000000004</v>
      </c>
      <c r="U22" s="18">
        <f t="shared" si="1"/>
        <v>0.44999999999999996</v>
      </c>
    </row>
    <row r="23" spans="1:21" ht="15" thickBot="1">
      <c r="A23" s="6" t="s">
        <v>83</v>
      </c>
      <c r="B23" s="6" t="s">
        <v>90</v>
      </c>
      <c r="C23" s="7" t="s">
        <v>91</v>
      </c>
      <c r="D23" s="10">
        <v>22000</v>
      </c>
      <c r="E23" s="18">
        <v>0.09</v>
      </c>
      <c r="F23" s="18">
        <f>MIN(100%,ROUND(E23*1.6,3))</f>
        <v>0.14399999999999999</v>
      </c>
      <c r="G23" s="6" t="str">
        <f t="shared" si="0"/>
        <v>Rendah</v>
      </c>
      <c r="H23" s="18">
        <f>MIN(100%,ROUND($E23*1.4,3))</f>
        <v>0.126</v>
      </c>
      <c r="I23" s="18">
        <f>MIN(100%,ROUND($E23*1.55,3))</f>
        <v>0.14000000000000001</v>
      </c>
      <c r="J23" s="18">
        <f>MIN(100%,ROUND($E23*1.25,3))</f>
        <v>0.113</v>
      </c>
      <c r="K23" s="18">
        <f>MIN(100%,ROUND($E23*0.8,3))</f>
        <v>7.1999999999999995E-2</v>
      </c>
      <c r="L23" s="18">
        <f>MIN(100%,ROUND($E23*0.55,3))</f>
        <v>0.05</v>
      </c>
      <c r="M23" s="18">
        <f>MIN(100%,ROUND($E23*0.4,3))</f>
        <v>3.5999999999999997E-2</v>
      </c>
      <c r="N23" s="18">
        <f>MIN(100%,ROUND($E23*0.35,3))</f>
        <v>3.2000000000000001E-2</v>
      </c>
      <c r="O23" s="18">
        <f>MIN(100%,ROUND($E23*0.35,3))</f>
        <v>3.2000000000000001E-2</v>
      </c>
      <c r="P23" s="18">
        <f>MIN(100%,ROUND($E23*0.45,3))</f>
        <v>4.1000000000000002E-2</v>
      </c>
      <c r="Q23" s="18">
        <f>MIN(100%,ROUND($E23*0.7,3))</f>
        <v>6.3E-2</v>
      </c>
      <c r="R23" s="18">
        <f>MIN(100%,ROUND($E23*1.05,3))</f>
        <v>9.5000000000000001E-2</v>
      </c>
      <c r="S23" s="18">
        <f>MIN(100%,ROUND($E23*1.3,3))</f>
        <v>0.11700000000000001</v>
      </c>
      <c r="T23" s="18">
        <v>0.5</v>
      </c>
      <c r="U23" s="18">
        <f t="shared" si="1"/>
        <v>0.5</v>
      </c>
    </row>
    <row r="24" spans="1:21" ht="15" thickBot="1">
      <c r="A24" s="6" t="s">
        <v>83</v>
      </c>
      <c r="B24" s="6" t="s">
        <v>92</v>
      </c>
      <c r="C24" s="7" t="s">
        <v>93</v>
      </c>
      <c r="D24" s="10">
        <v>54000</v>
      </c>
      <c r="E24" s="18">
        <v>0.12</v>
      </c>
      <c r="F24" s="18">
        <f>MIN(100%,ROUND(E24*1.65,3))</f>
        <v>0.19800000000000001</v>
      </c>
      <c r="G24" s="6" t="str">
        <f t="shared" si="0"/>
        <v>Sedang</v>
      </c>
      <c r="H24" s="18">
        <f>MIN(100%,ROUND($E24*1.3,3))</f>
        <v>0.156</v>
      </c>
      <c r="I24" s="18">
        <f>MIN(100%,ROUND($E24*1.45,3))</f>
        <v>0.17399999999999999</v>
      </c>
      <c r="J24" s="18">
        <f t="shared" ref="J24:J31" si="4">MIN(100%,ROUND($E24*1.2,3))</f>
        <v>0.14399999999999999</v>
      </c>
      <c r="K24" s="18">
        <f>MIN(100%,ROUND($E24*0.9,3))</f>
        <v>0.108</v>
      </c>
      <c r="L24" s="18">
        <f>MIN(100%,ROUND($E24*0.7,3))</f>
        <v>8.4000000000000005E-2</v>
      </c>
      <c r="M24" s="18">
        <f>MIN(100%,ROUND($E24*0.55,3))</f>
        <v>6.6000000000000003E-2</v>
      </c>
      <c r="N24" s="18">
        <f>MIN(100%,ROUND($E24*0.5,3))</f>
        <v>0.06</v>
      </c>
      <c r="O24" s="18">
        <f>MIN(100%,ROUND($E24*0.55,3))</f>
        <v>6.6000000000000003E-2</v>
      </c>
      <c r="P24" s="18">
        <f>MIN(100%,ROUND($E24*0.65,3))</f>
        <v>7.8E-2</v>
      </c>
      <c r="Q24" s="18">
        <f>MIN(100%,ROUND($E24*0.85,3))</f>
        <v>0.10199999999999999</v>
      </c>
      <c r="R24" s="18">
        <f>MIN(100%,ROUND($E24*1.05,3))</f>
        <v>0.126</v>
      </c>
      <c r="S24" s="18">
        <f>MIN(100%,ROUND($E24*1.25,3))</f>
        <v>0.15</v>
      </c>
      <c r="T24" s="18">
        <v>0.6</v>
      </c>
      <c r="U24" s="18">
        <f t="shared" si="1"/>
        <v>0.4</v>
      </c>
    </row>
    <row r="25" spans="1:21" ht="15" thickBot="1">
      <c r="A25" s="6" t="s">
        <v>83</v>
      </c>
      <c r="B25" s="6" t="s">
        <v>83</v>
      </c>
      <c r="C25" s="7" t="s">
        <v>94</v>
      </c>
      <c r="D25" s="10">
        <v>78000</v>
      </c>
      <c r="E25" s="18">
        <v>0.13</v>
      </c>
      <c r="F25" s="18">
        <f>MIN(100%,ROUND(E25*1.65,3))</f>
        <v>0.215</v>
      </c>
      <c r="G25" s="6" t="str">
        <f t="shared" si="0"/>
        <v>Sedang</v>
      </c>
      <c r="H25" s="18">
        <f>MIN(100%,ROUND($E25*1.3,3))</f>
        <v>0.16900000000000001</v>
      </c>
      <c r="I25" s="18">
        <f>MIN(100%,ROUND($E25*1.45,3))</f>
        <v>0.189</v>
      </c>
      <c r="J25" s="18">
        <f t="shared" si="4"/>
        <v>0.156</v>
      </c>
      <c r="K25" s="18">
        <f>MIN(100%,ROUND($E25*0.9,3))</f>
        <v>0.11700000000000001</v>
      </c>
      <c r="L25" s="18">
        <f>MIN(100%,ROUND($E25*0.7,3))</f>
        <v>9.0999999999999998E-2</v>
      </c>
      <c r="M25" s="18">
        <f>MIN(100%,ROUND($E25*0.55,3))</f>
        <v>7.1999999999999995E-2</v>
      </c>
      <c r="N25" s="18">
        <f>MIN(100%,ROUND($E25*0.5,3))</f>
        <v>6.5000000000000002E-2</v>
      </c>
      <c r="O25" s="18">
        <f>MIN(100%,ROUND($E25*0.55,3))</f>
        <v>7.1999999999999995E-2</v>
      </c>
      <c r="P25" s="18">
        <f>MIN(100%,ROUND($E25*0.65,3))</f>
        <v>8.5000000000000006E-2</v>
      </c>
      <c r="Q25" s="18">
        <f>MIN(100%,ROUND($E25*0.85,3))</f>
        <v>0.111</v>
      </c>
      <c r="R25" s="18">
        <f>MIN(100%,ROUND($E25*1.05,3))</f>
        <v>0.13700000000000001</v>
      </c>
      <c r="S25" s="18">
        <f>MIN(100%,ROUND($E25*1.25,3))</f>
        <v>0.16300000000000001</v>
      </c>
      <c r="T25" s="18">
        <v>0.65</v>
      </c>
      <c r="U25" s="18">
        <f t="shared" si="1"/>
        <v>0.35</v>
      </c>
    </row>
    <row r="26" spans="1:21" ht="15" thickBot="1">
      <c r="A26" s="6" t="s">
        <v>83</v>
      </c>
      <c r="B26" s="6" t="s">
        <v>95</v>
      </c>
      <c r="C26" s="7" t="s">
        <v>96</v>
      </c>
      <c r="D26" s="10">
        <v>124000</v>
      </c>
      <c r="E26" s="18">
        <v>0.14000000000000001</v>
      </c>
      <c r="F26" s="18">
        <f>MIN(100%,ROUND(E26*1.65,3))</f>
        <v>0.23100000000000001</v>
      </c>
      <c r="G26" s="6" t="str">
        <f t="shared" si="0"/>
        <v>Sedang</v>
      </c>
      <c r="H26" s="18">
        <f>MIN(100%,ROUND($E26*1.3,3))</f>
        <v>0.182</v>
      </c>
      <c r="I26" s="18">
        <f>MIN(100%,ROUND($E26*1.45,3))</f>
        <v>0.20300000000000001</v>
      </c>
      <c r="J26" s="18">
        <f t="shared" si="4"/>
        <v>0.16800000000000001</v>
      </c>
      <c r="K26" s="18">
        <f>MIN(100%,ROUND($E26*0.9,3))</f>
        <v>0.126</v>
      </c>
      <c r="L26" s="18">
        <f>MIN(100%,ROUND($E26*0.7,3))</f>
        <v>9.8000000000000004E-2</v>
      </c>
      <c r="M26" s="18">
        <f>MIN(100%,ROUND($E26*0.55,3))</f>
        <v>7.6999999999999999E-2</v>
      </c>
      <c r="N26" s="18">
        <f>MIN(100%,ROUND($E26*0.5,3))</f>
        <v>7.0000000000000007E-2</v>
      </c>
      <c r="O26" s="18">
        <f>MIN(100%,ROUND($E26*0.55,3))</f>
        <v>7.6999999999999999E-2</v>
      </c>
      <c r="P26" s="18">
        <f>MIN(100%,ROUND($E26*0.65,3))</f>
        <v>9.0999999999999998E-2</v>
      </c>
      <c r="Q26" s="18">
        <f>MIN(100%,ROUND($E26*0.85,3))</f>
        <v>0.11899999999999999</v>
      </c>
      <c r="R26" s="18">
        <f>MIN(100%,ROUND($E26*1.05,3))</f>
        <v>0.14699999999999999</v>
      </c>
      <c r="S26" s="18">
        <f>MIN(100%,ROUND($E26*1.25,3))</f>
        <v>0.17499999999999999</v>
      </c>
      <c r="T26" s="18">
        <v>0.65</v>
      </c>
      <c r="U26" s="18">
        <f t="shared" si="1"/>
        <v>0.35</v>
      </c>
    </row>
    <row r="27" spans="1:21" ht="15" thickBot="1">
      <c r="A27" s="6" t="s">
        <v>83</v>
      </c>
      <c r="B27" s="6" t="s">
        <v>97</v>
      </c>
      <c r="C27" s="7" t="s">
        <v>98</v>
      </c>
      <c r="D27" s="10">
        <v>64000</v>
      </c>
      <c r="E27" s="18">
        <v>0.15</v>
      </c>
      <c r="F27" s="18">
        <f>MIN(100%,ROUND(E27*1.65,3))</f>
        <v>0.248</v>
      </c>
      <c r="G27" s="6" t="str">
        <f t="shared" si="0"/>
        <v>Sedang</v>
      </c>
      <c r="H27" s="18">
        <f>MIN(100%,ROUND($E27*1.3,3))</f>
        <v>0.19500000000000001</v>
      </c>
      <c r="I27" s="18">
        <f>MIN(100%,ROUND($E27*1.45,3))</f>
        <v>0.218</v>
      </c>
      <c r="J27" s="18">
        <f t="shared" si="4"/>
        <v>0.18</v>
      </c>
      <c r="K27" s="18">
        <f>MIN(100%,ROUND($E27*0.9,3))</f>
        <v>0.13500000000000001</v>
      </c>
      <c r="L27" s="18">
        <f>MIN(100%,ROUND($E27*0.7,3))</f>
        <v>0.105</v>
      </c>
      <c r="M27" s="18">
        <f>MIN(100%,ROUND($E27*0.55,3))</f>
        <v>8.3000000000000004E-2</v>
      </c>
      <c r="N27" s="18">
        <f>MIN(100%,ROUND($E27*0.5,3))</f>
        <v>7.4999999999999997E-2</v>
      </c>
      <c r="O27" s="18">
        <f>MIN(100%,ROUND($E27*0.55,3))</f>
        <v>8.3000000000000004E-2</v>
      </c>
      <c r="P27" s="18">
        <f>MIN(100%,ROUND($E27*0.65,3))</f>
        <v>9.8000000000000004E-2</v>
      </c>
      <c r="Q27" s="18">
        <f>MIN(100%,ROUND($E27*0.85,3))</f>
        <v>0.128</v>
      </c>
      <c r="R27" s="18">
        <f>MIN(100%,ROUND($E27*1.05,3))</f>
        <v>0.158</v>
      </c>
      <c r="S27" s="18">
        <f>MIN(100%,ROUND($E27*1.25,3))</f>
        <v>0.188</v>
      </c>
      <c r="T27" s="18">
        <v>0.6</v>
      </c>
      <c r="U27" s="18">
        <f t="shared" si="1"/>
        <v>0.4</v>
      </c>
    </row>
    <row r="28" spans="1:21" ht="15" thickBot="1">
      <c r="A28" s="6" t="s">
        <v>99</v>
      </c>
      <c r="B28" s="6" t="s">
        <v>100</v>
      </c>
      <c r="C28" s="7" t="s">
        <v>101</v>
      </c>
      <c r="D28" s="10">
        <v>34000</v>
      </c>
      <c r="E28" s="18">
        <v>0.18</v>
      </c>
      <c r="F28" s="18">
        <f>MIN(100%,ROUND(E28*1.7,3))</f>
        <v>0.30599999999999999</v>
      </c>
      <c r="G28" s="6" t="str">
        <f t="shared" si="0"/>
        <v>Tinggi</v>
      </c>
      <c r="H28" s="18">
        <f>MIN(100%,ROUND($E28*1.25,3))</f>
        <v>0.22500000000000001</v>
      </c>
      <c r="I28" s="18">
        <f>MIN(100%,ROUND($E28*1.4,3))</f>
        <v>0.252</v>
      </c>
      <c r="J28" s="18">
        <f t="shared" si="4"/>
        <v>0.216</v>
      </c>
      <c r="K28" s="18">
        <f>MIN(100%,ROUND($E28*1,3))</f>
        <v>0.18</v>
      </c>
      <c r="L28" s="18">
        <f>MIN(100%,ROUND($E28*0.85,3))</f>
        <v>0.153</v>
      </c>
      <c r="M28" s="18">
        <f>MIN(100%,ROUND($E28*0.75,3))</f>
        <v>0.13500000000000001</v>
      </c>
      <c r="N28" s="18">
        <f>MIN(100%,ROUND($E28*0.7,3))</f>
        <v>0.126</v>
      </c>
      <c r="O28" s="18">
        <f>MIN(100%,ROUND($E28*0.75,3))</f>
        <v>0.13500000000000001</v>
      </c>
      <c r="P28" s="18">
        <f>MIN(100%,ROUND($E28*0.85,3))</f>
        <v>0.153</v>
      </c>
      <c r="Q28" s="18">
        <f>MIN(100%,ROUND($E28*1,3))</f>
        <v>0.18</v>
      </c>
      <c r="R28" s="18">
        <f>MIN(100%,ROUND($E28*1.15,3))</f>
        <v>0.20699999999999999</v>
      </c>
      <c r="S28" s="18">
        <f t="shared" ref="S28:S33" si="5">MIN(100%,ROUND($E28*1.3,3))</f>
        <v>0.23400000000000001</v>
      </c>
      <c r="T28" s="18">
        <v>0.45</v>
      </c>
      <c r="U28" s="18">
        <f t="shared" si="1"/>
        <v>0.55000000000000004</v>
      </c>
    </row>
    <row r="29" spans="1:21" ht="15" thickBot="1">
      <c r="A29" s="6" t="s">
        <v>99</v>
      </c>
      <c r="B29" s="6" t="s">
        <v>99</v>
      </c>
      <c r="C29" s="7" t="s">
        <v>102</v>
      </c>
      <c r="D29" s="10">
        <v>22000</v>
      </c>
      <c r="E29" s="18">
        <v>0.22</v>
      </c>
      <c r="F29" s="18">
        <f>MIN(100%,ROUND(E29*1.7,3))</f>
        <v>0.374</v>
      </c>
      <c r="G29" s="6" t="str">
        <f t="shared" si="0"/>
        <v>Tinggi</v>
      </c>
      <c r="H29" s="18">
        <f>MIN(100%,ROUND($E29*1.25,3))</f>
        <v>0.27500000000000002</v>
      </c>
      <c r="I29" s="18">
        <f>MIN(100%,ROUND($E29*1.4,3))</f>
        <v>0.308</v>
      </c>
      <c r="J29" s="18">
        <f t="shared" si="4"/>
        <v>0.26400000000000001</v>
      </c>
      <c r="K29" s="18">
        <f>MIN(100%,ROUND($E29*1,3))</f>
        <v>0.22</v>
      </c>
      <c r="L29" s="18">
        <f>MIN(100%,ROUND($E29*0.85,3))</f>
        <v>0.187</v>
      </c>
      <c r="M29" s="18">
        <f>MIN(100%,ROUND($E29*0.75,3))</f>
        <v>0.16500000000000001</v>
      </c>
      <c r="N29" s="18">
        <f>MIN(100%,ROUND($E29*0.7,3))</f>
        <v>0.154</v>
      </c>
      <c r="O29" s="18">
        <f>MIN(100%,ROUND($E29*0.75,3))</f>
        <v>0.16500000000000001</v>
      </c>
      <c r="P29" s="18">
        <f>MIN(100%,ROUND($E29*0.85,3))</f>
        <v>0.187</v>
      </c>
      <c r="Q29" s="18">
        <f>MIN(100%,ROUND($E29*1,3))</f>
        <v>0.22</v>
      </c>
      <c r="R29" s="18">
        <f>MIN(100%,ROUND($E29*1.15,3))</f>
        <v>0.253</v>
      </c>
      <c r="S29" s="18">
        <f t="shared" si="5"/>
        <v>0.28599999999999998</v>
      </c>
      <c r="T29" s="18">
        <v>0.4</v>
      </c>
      <c r="U29" s="18">
        <f t="shared" si="1"/>
        <v>0.6</v>
      </c>
    </row>
    <row r="30" spans="1:21" ht="15" thickBot="1">
      <c r="A30" s="6" t="s">
        <v>99</v>
      </c>
      <c r="B30" s="6" t="s">
        <v>103</v>
      </c>
      <c r="C30" s="7" t="s">
        <v>104</v>
      </c>
      <c r="D30" s="10">
        <v>42000</v>
      </c>
      <c r="E30" s="18">
        <v>0.18</v>
      </c>
      <c r="F30" s="18">
        <f>MIN(100%,ROUND(E30*1.7,3))</f>
        <v>0.30599999999999999</v>
      </c>
      <c r="G30" s="6" t="str">
        <f t="shared" si="0"/>
        <v>Tinggi</v>
      </c>
      <c r="H30" s="18">
        <f>MIN(100%,ROUND($E30*1.25,3))</f>
        <v>0.22500000000000001</v>
      </c>
      <c r="I30" s="18">
        <f>MIN(100%,ROUND($E30*1.4,3))</f>
        <v>0.252</v>
      </c>
      <c r="J30" s="18">
        <f t="shared" si="4"/>
        <v>0.216</v>
      </c>
      <c r="K30" s="18">
        <f>MIN(100%,ROUND($E30*1,3))</f>
        <v>0.18</v>
      </c>
      <c r="L30" s="18">
        <f>MIN(100%,ROUND($E30*0.85,3))</f>
        <v>0.153</v>
      </c>
      <c r="M30" s="18">
        <f>MIN(100%,ROUND($E30*0.75,3))</f>
        <v>0.13500000000000001</v>
      </c>
      <c r="N30" s="18">
        <f>MIN(100%,ROUND($E30*0.7,3))</f>
        <v>0.126</v>
      </c>
      <c r="O30" s="18">
        <f>MIN(100%,ROUND($E30*0.75,3))</f>
        <v>0.13500000000000001</v>
      </c>
      <c r="P30" s="18">
        <f>MIN(100%,ROUND($E30*0.85,3))</f>
        <v>0.153</v>
      </c>
      <c r="Q30" s="18">
        <f>MIN(100%,ROUND($E30*1,3))</f>
        <v>0.18</v>
      </c>
      <c r="R30" s="18">
        <f>MIN(100%,ROUND($E30*1.15,3))</f>
        <v>0.20699999999999999</v>
      </c>
      <c r="S30" s="18">
        <f t="shared" si="5"/>
        <v>0.23400000000000001</v>
      </c>
      <c r="T30" s="18">
        <v>0.5</v>
      </c>
      <c r="U30" s="18">
        <f t="shared" si="1"/>
        <v>0.5</v>
      </c>
    </row>
    <row r="31" spans="1:21" ht="15" thickBot="1">
      <c r="A31" s="6" t="s">
        <v>99</v>
      </c>
      <c r="B31" s="6" t="s">
        <v>105</v>
      </c>
      <c r="C31" s="7" t="s">
        <v>106</v>
      </c>
      <c r="D31" s="10">
        <v>26000</v>
      </c>
      <c r="E31" s="18">
        <v>0.2</v>
      </c>
      <c r="F31" s="18">
        <f>MIN(100%,ROUND(E31*1.7,3))</f>
        <v>0.34</v>
      </c>
      <c r="G31" s="6" t="str">
        <f t="shared" si="0"/>
        <v>Tinggi</v>
      </c>
      <c r="H31" s="18">
        <f>MIN(100%,ROUND($E31*1.25,3))</f>
        <v>0.25</v>
      </c>
      <c r="I31" s="18">
        <f>MIN(100%,ROUND($E31*1.4,3))</f>
        <v>0.28000000000000003</v>
      </c>
      <c r="J31" s="18">
        <f t="shared" si="4"/>
        <v>0.24</v>
      </c>
      <c r="K31" s="18">
        <f>MIN(100%,ROUND($E31*1,3))</f>
        <v>0.2</v>
      </c>
      <c r="L31" s="18">
        <f>MIN(100%,ROUND($E31*0.85,3))</f>
        <v>0.17</v>
      </c>
      <c r="M31" s="18">
        <f>MIN(100%,ROUND($E31*0.75,3))</f>
        <v>0.15</v>
      </c>
      <c r="N31" s="18">
        <f>MIN(100%,ROUND($E31*0.7,3))</f>
        <v>0.14000000000000001</v>
      </c>
      <c r="O31" s="18">
        <f>MIN(100%,ROUND($E31*0.75,3))</f>
        <v>0.15</v>
      </c>
      <c r="P31" s="18">
        <f>MIN(100%,ROUND($E31*0.85,3))</f>
        <v>0.17</v>
      </c>
      <c r="Q31" s="18">
        <f>MIN(100%,ROUND($E31*1,3))</f>
        <v>0.2</v>
      </c>
      <c r="R31" s="18">
        <f>MIN(100%,ROUND($E31*1.15,3))</f>
        <v>0.23</v>
      </c>
      <c r="S31" s="18">
        <f t="shared" si="5"/>
        <v>0.26</v>
      </c>
      <c r="T31" s="18">
        <v>0.4</v>
      </c>
      <c r="U31" s="18">
        <f t="shared" si="1"/>
        <v>0.6</v>
      </c>
    </row>
    <row r="32" spans="1:21" ht="15" thickBot="1">
      <c r="A32" s="6" t="s">
        <v>122</v>
      </c>
      <c r="B32" s="6" t="s">
        <v>122</v>
      </c>
      <c r="C32" s="7" t="s">
        <v>123</v>
      </c>
      <c r="D32" s="10">
        <v>102551.3</v>
      </c>
      <c r="E32" s="18">
        <v>0.08</v>
      </c>
      <c r="F32" s="18">
        <f>MIN(100%,ROUND(E32*1.6,3))</f>
        <v>0.128</v>
      </c>
      <c r="G32" s="6" t="str">
        <f t="shared" si="0"/>
        <v>Rendah</v>
      </c>
      <c r="H32" s="18">
        <f>MIN(100%,ROUND($E32*1.4,3))</f>
        <v>0.112</v>
      </c>
      <c r="I32" s="18">
        <f>MIN(100%,ROUND($E32*1.55,3))</f>
        <v>0.124</v>
      </c>
      <c r="J32" s="18">
        <f>MIN(100%,ROUND($E32*1.25,3))</f>
        <v>0.1</v>
      </c>
      <c r="K32" s="18">
        <f>MIN(100%,ROUND($E32*0.8,3))</f>
        <v>6.4000000000000001E-2</v>
      </c>
      <c r="L32" s="18">
        <f>MIN(100%,ROUND($E32*0.55,3))</f>
        <v>4.3999999999999997E-2</v>
      </c>
      <c r="M32" s="18">
        <f>MIN(100%,ROUND($E32*0.4,3))</f>
        <v>3.2000000000000001E-2</v>
      </c>
      <c r="N32" s="18">
        <f>MIN(100%,ROUND($E32*0.35,3))</f>
        <v>2.8000000000000001E-2</v>
      </c>
      <c r="O32" s="18">
        <f>MIN(100%,ROUND($E32*0.35,3))</f>
        <v>2.8000000000000001E-2</v>
      </c>
      <c r="P32" s="18">
        <f>MIN(100%,ROUND($E32*0.45,3))</f>
        <v>3.5999999999999997E-2</v>
      </c>
      <c r="Q32" s="18">
        <f>MIN(100%,ROUND($E32*0.7,3))</f>
        <v>5.6000000000000001E-2</v>
      </c>
      <c r="R32" s="18">
        <f>MIN(100%,ROUND($E32*1.05,3))</f>
        <v>8.4000000000000005E-2</v>
      </c>
      <c r="S32" s="18">
        <f t="shared" si="5"/>
        <v>0.104</v>
      </c>
      <c r="T32" s="18">
        <v>0.75</v>
      </c>
      <c r="U32" s="18">
        <f t="shared" si="1"/>
        <v>0.25</v>
      </c>
    </row>
    <row r="33" spans="1:21" ht="15" thickBot="1">
      <c r="A33" s="6" t="s">
        <v>122</v>
      </c>
      <c r="B33" s="6" t="s">
        <v>124</v>
      </c>
      <c r="C33" s="7" t="s">
        <v>125</v>
      </c>
      <c r="D33" s="10">
        <v>38216.699999999997</v>
      </c>
      <c r="E33" s="18">
        <v>7.0000000000000007E-2</v>
      </c>
      <c r="F33" s="18">
        <f>MIN(100%,ROUND(E33*1.6,3))</f>
        <v>0.112</v>
      </c>
      <c r="G33" s="6" t="str">
        <f t="shared" si="0"/>
        <v>Rendah</v>
      </c>
      <c r="H33" s="18">
        <f>MIN(100%,ROUND($E33*1.4,3))</f>
        <v>9.8000000000000004E-2</v>
      </c>
      <c r="I33" s="18">
        <f>MIN(100%,ROUND($E33*1.55,3))</f>
        <v>0.109</v>
      </c>
      <c r="J33" s="18">
        <f>MIN(100%,ROUND($E33*1.25,3))</f>
        <v>8.7999999999999995E-2</v>
      </c>
      <c r="K33" s="18">
        <f>MIN(100%,ROUND($E33*0.8,3))</f>
        <v>5.6000000000000001E-2</v>
      </c>
      <c r="L33" s="18">
        <f>MIN(100%,ROUND($E33*0.55,3))</f>
        <v>3.9E-2</v>
      </c>
      <c r="M33" s="18">
        <f>MIN(100%,ROUND($E33*0.4,3))</f>
        <v>2.8000000000000001E-2</v>
      </c>
      <c r="N33" s="18">
        <f>MIN(100%,ROUND($E33*0.35,3))</f>
        <v>2.5000000000000001E-2</v>
      </c>
      <c r="O33" s="18">
        <f>MIN(100%,ROUND($E33*0.35,3))</f>
        <v>2.5000000000000001E-2</v>
      </c>
      <c r="P33" s="18">
        <f>MIN(100%,ROUND($E33*0.45,3))</f>
        <v>3.2000000000000001E-2</v>
      </c>
      <c r="Q33" s="18">
        <f>MIN(100%,ROUND($E33*0.7,3))</f>
        <v>4.9000000000000002E-2</v>
      </c>
      <c r="R33" s="18">
        <f>MIN(100%,ROUND($E33*1.05,3))</f>
        <v>7.3999999999999996E-2</v>
      </c>
      <c r="S33" s="18">
        <f t="shared" si="5"/>
        <v>9.0999999999999998E-2</v>
      </c>
      <c r="T33" s="18">
        <v>0.65</v>
      </c>
      <c r="U33" s="18">
        <f t="shared" si="1"/>
        <v>0.35</v>
      </c>
    </row>
    <row r="34" spans="1:21" ht="15" thickBot="1">
      <c r="A34" s="6" t="s">
        <v>122</v>
      </c>
      <c r="B34" s="6" t="s">
        <v>126</v>
      </c>
      <c r="C34" s="7" t="s">
        <v>127</v>
      </c>
      <c r="D34" s="10">
        <v>45085</v>
      </c>
      <c r="E34" s="18">
        <v>0.1</v>
      </c>
      <c r="F34" s="18">
        <f>MIN(100%,ROUND(E34*1.65,3))</f>
        <v>0.16500000000000001</v>
      </c>
      <c r="G34" s="6" t="str">
        <f t="shared" si="0"/>
        <v>Sedang</v>
      </c>
      <c r="H34" s="18">
        <f>MIN(100%,ROUND($E34*1.3,3))</f>
        <v>0.13</v>
      </c>
      <c r="I34" s="18">
        <f>MIN(100%,ROUND($E34*1.45,3))</f>
        <v>0.14499999999999999</v>
      </c>
      <c r="J34" s="18">
        <f>MIN(100%,ROUND($E34*1.2,3))</f>
        <v>0.12</v>
      </c>
      <c r="K34" s="18">
        <f>MIN(100%,ROUND($E34*0.9,3))</f>
        <v>0.09</v>
      </c>
      <c r="L34" s="18">
        <f>MIN(100%,ROUND($E34*0.7,3))</f>
        <v>7.0000000000000007E-2</v>
      </c>
      <c r="M34" s="18">
        <f>MIN(100%,ROUND($E34*0.55,3))</f>
        <v>5.5E-2</v>
      </c>
      <c r="N34" s="18">
        <f>MIN(100%,ROUND($E34*0.5,3))</f>
        <v>0.05</v>
      </c>
      <c r="O34" s="18">
        <f>MIN(100%,ROUND($E34*0.55,3))</f>
        <v>5.5E-2</v>
      </c>
      <c r="P34" s="18">
        <f>MIN(100%,ROUND($E34*0.65,3))</f>
        <v>6.5000000000000002E-2</v>
      </c>
      <c r="Q34" s="18">
        <f>MIN(100%,ROUND($E34*0.85,3))</f>
        <v>8.5000000000000006E-2</v>
      </c>
      <c r="R34" s="18">
        <f>MIN(100%,ROUND($E34*1.05,3))</f>
        <v>0.105</v>
      </c>
      <c r="S34" s="18">
        <f>MIN(100%,ROUND($E34*1.25,3))</f>
        <v>0.125</v>
      </c>
      <c r="T34" s="18">
        <v>0.65</v>
      </c>
      <c r="U34" s="18">
        <f t="shared" si="1"/>
        <v>0.35</v>
      </c>
    </row>
    <row r="35" spans="1:21">
      <c r="A35" s="6" t="s">
        <v>122</v>
      </c>
      <c r="B35" s="6" t="s">
        <v>128</v>
      </c>
      <c r="C35" s="7" t="s">
        <v>129</v>
      </c>
      <c r="D35" s="10">
        <v>84500</v>
      </c>
      <c r="E35" s="18">
        <v>0.08</v>
      </c>
      <c r="F35" s="18">
        <f>MIN(100%,ROUND(E35*1.6,3))</f>
        <v>0.128</v>
      </c>
      <c r="G35" s="6" t="str">
        <f t="shared" si="0"/>
        <v>Rendah</v>
      </c>
      <c r="H35" s="18">
        <f>MIN(100%,ROUND($E35*1.4,3))</f>
        <v>0.112</v>
      </c>
      <c r="I35" s="18">
        <f>MIN(100%,ROUND($E35*1.55,3))</f>
        <v>0.124</v>
      </c>
      <c r="J35" s="18">
        <f>MIN(100%,ROUND($E35*1.25,3))</f>
        <v>0.1</v>
      </c>
      <c r="K35" s="18">
        <f>MIN(100%,ROUND($E35*0.8,3))</f>
        <v>6.4000000000000001E-2</v>
      </c>
      <c r="L35" s="18">
        <f>MIN(100%,ROUND($E35*0.55,3))</f>
        <v>4.3999999999999997E-2</v>
      </c>
      <c r="M35" s="18">
        <f>MIN(100%,ROUND($E35*0.4,3))</f>
        <v>3.2000000000000001E-2</v>
      </c>
      <c r="N35" s="18">
        <f>MIN(100%,ROUND($E35*0.35,3))</f>
        <v>2.8000000000000001E-2</v>
      </c>
      <c r="O35" s="18">
        <f>MIN(100%,ROUND($E35*0.35,3))</f>
        <v>2.8000000000000001E-2</v>
      </c>
      <c r="P35" s="18">
        <f>MIN(100%,ROUND($E35*0.45,3))</f>
        <v>3.5999999999999997E-2</v>
      </c>
      <c r="Q35" s="18">
        <f>MIN(100%,ROUND($E35*0.7,3))</f>
        <v>5.6000000000000001E-2</v>
      </c>
      <c r="R35" s="18">
        <f>MIN(100%,ROUND($E35*1.05,3))</f>
        <v>8.4000000000000005E-2</v>
      </c>
      <c r="S35" s="18">
        <f>MIN(100%,ROUND($E35*1.3,3))</f>
        <v>0.104</v>
      </c>
      <c r="T35" s="18">
        <v>0.7</v>
      </c>
      <c r="U35" s="18">
        <f t="shared" si="1"/>
        <v>0.30000000000000004</v>
      </c>
    </row>
  </sheetData>
  <conditionalFormatting sqref="E2:U35">
    <cfRule type="colorScale" priority="4">
      <colorScale>
        <cfvo type="min"/>
        <cfvo type="percentile" val="50"/>
        <cfvo type="max"/>
        <color rgb="FFFFFFFF"/>
        <color rgb="FFFFD966"/>
        <color rgb="FF63BE7B"/>
      </colorScale>
    </cfRule>
  </conditionalFormatting>
  <conditionalFormatting sqref="G2:G35">
    <cfRule type="expression" dxfId="53" priority="1">
      <formula>$G2="Tinggi"</formula>
    </cfRule>
    <cfRule type="expression" dxfId="52" priority="2">
      <formula>$G2="Sedang"</formula>
    </cfRule>
    <cfRule type="expression" dxfId="51" priority="3">
      <formula>$G2="Rendah"</formula>
    </cfRule>
  </conditionalFormatting>
  <pageMargins left="0.7" right="0.7" top="0.75" bottom="0.75" header="0.3" footer="0.3"/>
  <headerFooter>
    <oddFooter>&amp;R_x000D_&amp;1#&amp;"Aptos"&amp;22&amp;KFF8939 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574D1-2A4A-459F-A90D-4A007C186FEE}">
  <dimension ref="A1:Q35"/>
  <sheetViews>
    <sheetView topLeftCell="I17" workbookViewId="0">
      <selection activeCell="F11" sqref="F11"/>
    </sheetView>
  </sheetViews>
  <sheetFormatPr defaultRowHeight="14.5"/>
  <cols>
    <col min="1" max="1" width="10.1796875" bestFit="1" customWidth="1"/>
    <col min="2" max="2" width="12.7265625" bestFit="1" customWidth="1"/>
    <col min="3" max="3" width="34.54296875" customWidth="1"/>
    <col min="4" max="4" width="13.36328125" bestFit="1" customWidth="1"/>
    <col min="5" max="5" width="10.08984375" bestFit="1" customWidth="1"/>
    <col min="6" max="6" width="9.81640625" bestFit="1" customWidth="1"/>
    <col min="7" max="7" width="6.90625" bestFit="1" customWidth="1"/>
    <col min="8" max="8" width="11.6328125" bestFit="1" customWidth="1"/>
    <col min="9" max="9" width="10.08984375" bestFit="1" customWidth="1"/>
    <col min="10" max="10" width="16.453125" bestFit="1" customWidth="1"/>
    <col min="11" max="11" width="11.453125" bestFit="1" customWidth="1"/>
    <col min="12" max="12" width="16.453125" bestFit="1" customWidth="1"/>
    <col min="13" max="13" width="11.453125" bestFit="1" customWidth="1"/>
    <col min="14" max="14" width="10.90625" bestFit="1" customWidth="1"/>
    <col min="15" max="15" width="11.453125" bestFit="1" customWidth="1"/>
    <col min="16" max="16" width="13.08984375" bestFit="1" customWidth="1"/>
    <col min="17" max="17" width="11.453125" bestFit="1" customWidth="1"/>
  </cols>
  <sheetData>
    <row r="1" spans="1:17" ht="43.5">
      <c r="A1" s="11" t="s">
        <v>24</v>
      </c>
      <c r="B1" s="11" t="s">
        <v>25</v>
      </c>
      <c r="C1" s="11" t="s">
        <v>26</v>
      </c>
      <c r="D1" s="11" t="s">
        <v>27</v>
      </c>
      <c r="E1" s="11" t="s">
        <v>28</v>
      </c>
      <c r="F1" s="11" t="s">
        <v>29</v>
      </c>
      <c r="G1" s="11" t="s">
        <v>30</v>
      </c>
      <c r="H1" s="11" t="str">
        <f>"Produk 1 ("&amp;TEXT(MIN(I2:I35),"0%")&amp;"–"&amp;TEXT(MAX(I2:I35),"0%")&amp;")"</f>
        <v>Produk 1 (28%–30%)</v>
      </c>
      <c r="I1" s="11" t="s">
        <v>107</v>
      </c>
      <c r="J1" s="11" t="str">
        <f>"Produk 2 ("&amp;TEXT(MIN(K2:K35),"0%")&amp;"–"&amp;TEXT(MAX(K2:K35),"0%")&amp;")"</f>
        <v>Produk 2 (24%–24%)</v>
      </c>
      <c r="K1" s="11" t="s">
        <v>108</v>
      </c>
      <c r="L1" s="11" t="str">
        <f>"Produk 3 ("&amp;TEXT(MIN(M2:M35),"0%")&amp;"–"&amp;TEXT(MAX(M2:M35),"0%")&amp;")"</f>
        <v>Produk 3 (19%–20%)</v>
      </c>
      <c r="M1" s="11" t="s">
        <v>109</v>
      </c>
      <c r="N1" s="11" t="str">
        <f>"Produk 4 ("&amp;TEXT(MIN(O2:O35),"0%")&amp;"–"&amp;TEXT(MAX(O2:O35),"0%")&amp;")"</f>
        <v>Produk 4 (15%–16%)</v>
      </c>
      <c r="O1" s="11" t="s">
        <v>110</v>
      </c>
      <c r="P1" s="11" t="str">
        <f>"Produk 5 ("&amp;TEXT(MIN(Q2:Q35),"0%")&amp;"–"&amp;TEXT(MAX(Q2:Q35),"0%")&amp;")"</f>
        <v>Produk 5 (12%–12%)</v>
      </c>
      <c r="Q1" s="11" t="s">
        <v>111</v>
      </c>
    </row>
    <row r="2" spans="1:17">
      <c r="A2" t="s">
        <v>43</v>
      </c>
      <c r="B2" t="s">
        <v>43</v>
      </c>
      <c r="C2" s="13" t="s">
        <v>44</v>
      </c>
      <c r="D2" s="16">
        <v>68000</v>
      </c>
      <c r="E2" s="12">
        <v>0.08</v>
      </c>
      <c r="F2" s="12">
        <v>0.128</v>
      </c>
      <c r="G2" t="s">
        <v>50</v>
      </c>
      <c r="H2" s="15" t="s">
        <v>132</v>
      </c>
      <c r="I2" s="3">
        <v>0.28000000000000003</v>
      </c>
      <c r="J2" s="15" t="s">
        <v>133</v>
      </c>
      <c r="K2" s="3">
        <v>0.24</v>
      </c>
      <c r="L2" s="15" t="s">
        <v>134</v>
      </c>
      <c r="M2" s="3">
        <v>0.2</v>
      </c>
      <c r="N2" s="15" t="s">
        <v>135</v>
      </c>
      <c r="O2" s="3">
        <v>0.16</v>
      </c>
      <c r="P2" s="15" t="s">
        <v>136</v>
      </c>
      <c r="Q2" s="3">
        <v>0.12</v>
      </c>
    </row>
    <row r="3" spans="1:17">
      <c r="A3" t="s">
        <v>43</v>
      </c>
      <c r="B3" t="s">
        <v>46</v>
      </c>
      <c r="C3" s="13" t="s">
        <v>47</v>
      </c>
      <c r="D3" s="16">
        <v>38000</v>
      </c>
      <c r="E3" s="12">
        <v>0.09</v>
      </c>
      <c r="F3" s="12">
        <v>0.14399999999999999</v>
      </c>
      <c r="G3" t="s">
        <v>50</v>
      </c>
      <c r="H3" s="15" t="s">
        <v>132</v>
      </c>
      <c r="I3" s="3">
        <v>0.28000000000000003</v>
      </c>
      <c r="J3" s="15" t="s">
        <v>133</v>
      </c>
      <c r="K3" s="3">
        <v>0.24</v>
      </c>
      <c r="L3" s="15" t="s">
        <v>134</v>
      </c>
      <c r="M3" s="3">
        <v>0.2</v>
      </c>
      <c r="N3" s="15" t="s">
        <v>135</v>
      </c>
      <c r="O3" s="3">
        <v>0.16</v>
      </c>
      <c r="P3" s="15" t="s">
        <v>136</v>
      </c>
      <c r="Q3" s="3">
        <v>0.12</v>
      </c>
    </row>
    <row r="4" spans="1:17">
      <c r="A4" t="s">
        <v>43</v>
      </c>
      <c r="B4" t="s">
        <v>48</v>
      </c>
      <c r="C4" s="13" t="s">
        <v>49</v>
      </c>
      <c r="D4" s="16">
        <v>14000</v>
      </c>
      <c r="E4" s="12">
        <v>0.17</v>
      </c>
      <c r="F4" s="12">
        <v>0.28899999999999998</v>
      </c>
      <c r="G4" t="s">
        <v>65</v>
      </c>
      <c r="H4" s="15" t="s">
        <v>133</v>
      </c>
      <c r="I4" s="3">
        <v>0.3</v>
      </c>
      <c r="J4" s="15" t="s">
        <v>134</v>
      </c>
      <c r="K4" s="3">
        <v>0.24</v>
      </c>
      <c r="L4" s="15" t="s">
        <v>132</v>
      </c>
      <c r="M4" s="3">
        <v>0.19</v>
      </c>
      <c r="N4" s="15" t="s">
        <v>135</v>
      </c>
      <c r="O4" s="3">
        <v>0.15</v>
      </c>
      <c r="P4" s="15" t="s">
        <v>188</v>
      </c>
      <c r="Q4" s="3">
        <v>0.12</v>
      </c>
    </row>
    <row r="5" spans="1:17">
      <c r="A5" t="s">
        <v>51</v>
      </c>
      <c r="B5" t="s">
        <v>52</v>
      </c>
      <c r="C5" s="13" t="s">
        <v>53</v>
      </c>
      <c r="D5" s="16">
        <v>72000</v>
      </c>
      <c r="E5" s="12">
        <v>0.1</v>
      </c>
      <c r="F5" s="12">
        <v>0.16</v>
      </c>
      <c r="G5" t="s">
        <v>45</v>
      </c>
      <c r="H5" s="15" t="s">
        <v>133</v>
      </c>
      <c r="I5" s="3">
        <v>0.28999999999999998</v>
      </c>
      <c r="J5" s="15" t="s">
        <v>132</v>
      </c>
      <c r="K5" s="3">
        <v>0.24</v>
      </c>
      <c r="L5" s="15" t="s">
        <v>134</v>
      </c>
      <c r="M5" s="3">
        <v>0.19</v>
      </c>
      <c r="N5" s="15" t="s">
        <v>135</v>
      </c>
      <c r="O5" s="3">
        <v>0.16</v>
      </c>
      <c r="P5" s="15" t="s">
        <v>136</v>
      </c>
      <c r="Q5" s="3">
        <v>0.12</v>
      </c>
    </row>
    <row r="6" spans="1:17">
      <c r="A6" t="s">
        <v>51</v>
      </c>
      <c r="B6" t="s">
        <v>51</v>
      </c>
      <c r="C6" s="13" t="s">
        <v>54</v>
      </c>
      <c r="D6" s="16">
        <v>38000</v>
      </c>
      <c r="E6" s="12">
        <v>0.11</v>
      </c>
      <c r="F6" s="12">
        <v>0.182</v>
      </c>
      <c r="G6" t="s">
        <v>45</v>
      </c>
      <c r="H6" s="15" t="s">
        <v>133</v>
      </c>
      <c r="I6" s="3">
        <v>0.28999999999999998</v>
      </c>
      <c r="J6" s="15" t="s">
        <v>132</v>
      </c>
      <c r="K6" s="3">
        <v>0.24</v>
      </c>
      <c r="L6" s="15" t="s">
        <v>134</v>
      </c>
      <c r="M6" s="3">
        <v>0.19</v>
      </c>
      <c r="N6" s="15" t="s">
        <v>135</v>
      </c>
      <c r="O6" s="3">
        <v>0.16</v>
      </c>
      <c r="P6" s="15" t="s">
        <v>136</v>
      </c>
      <c r="Q6" s="3">
        <v>0.12</v>
      </c>
    </row>
    <row r="7" spans="1:17">
      <c r="A7" t="s">
        <v>51</v>
      </c>
      <c r="B7" t="s">
        <v>55</v>
      </c>
      <c r="C7" s="13" t="s">
        <v>56</v>
      </c>
      <c r="D7" s="16">
        <v>39000</v>
      </c>
      <c r="E7" s="12">
        <v>0.13</v>
      </c>
      <c r="F7" s="12">
        <v>0.215</v>
      </c>
      <c r="G7" t="s">
        <v>45</v>
      </c>
      <c r="H7" s="15" t="s">
        <v>133</v>
      </c>
      <c r="I7" s="3">
        <v>0.28999999999999998</v>
      </c>
      <c r="J7" s="15" t="s">
        <v>132</v>
      </c>
      <c r="K7" s="3">
        <v>0.24</v>
      </c>
      <c r="L7" s="15" t="s">
        <v>134</v>
      </c>
      <c r="M7" s="3">
        <v>0.19</v>
      </c>
      <c r="N7" s="15" t="s">
        <v>135</v>
      </c>
      <c r="O7" s="3">
        <v>0.16</v>
      </c>
      <c r="P7" s="15" t="s">
        <v>136</v>
      </c>
      <c r="Q7" s="3">
        <v>0.12</v>
      </c>
    </row>
    <row r="8" spans="1:17">
      <c r="A8" t="s">
        <v>51</v>
      </c>
      <c r="B8" t="s">
        <v>57</v>
      </c>
      <c r="C8" s="13" t="s">
        <v>58</v>
      </c>
      <c r="D8" s="16">
        <v>46000</v>
      </c>
      <c r="E8" s="12">
        <v>0.1</v>
      </c>
      <c r="F8" s="12">
        <v>0.16</v>
      </c>
      <c r="G8" t="s">
        <v>45</v>
      </c>
      <c r="H8" s="15" t="s">
        <v>133</v>
      </c>
      <c r="I8" s="3">
        <v>0.28999999999999998</v>
      </c>
      <c r="J8" s="15" t="s">
        <v>132</v>
      </c>
      <c r="K8" s="3">
        <v>0.24</v>
      </c>
      <c r="L8" s="15" t="s">
        <v>134</v>
      </c>
      <c r="M8" s="3">
        <v>0.19</v>
      </c>
      <c r="N8" s="15" t="s">
        <v>135</v>
      </c>
      <c r="O8" s="3">
        <v>0.16</v>
      </c>
      <c r="P8" s="15" t="s">
        <v>136</v>
      </c>
      <c r="Q8" s="3">
        <v>0.12</v>
      </c>
    </row>
    <row r="9" spans="1:17">
      <c r="A9" t="s">
        <v>59</v>
      </c>
      <c r="B9" t="s">
        <v>59</v>
      </c>
      <c r="C9" s="13" t="s">
        <v>60</v>
      </c>
      <c r="D9" s="16">
        <v>32000</v>
      </c>
      <c r="E9" s="12">
        <v>0.15</v>
      </c>
      <c r="F9" s="12">
        <v>0.248</v>
      </c>
      <c r="G9" t="s">
        <v>45</v>
      </c>
      <c r="H9" s="15" t="s">
        <v>133</v>
      </c>
      <c r="I9" s="3">
        <v>0.28999999999999998</v>
      </c>
      <c r="J9" s="15" t="s">
        <v>132</v>
      </c>
      <c r="K9" s="3">
        <v>0.24</v>
      </c>
      <c r="L9" s="15" t="s">
        <v>134</v>
      </c>
      <c r="M9" s="3">
        <v>0.19</v>
      </c>
      <c r="N9" s="15" t="s">
        <v>135</v>
      </c>
      <c r="O9" s="3">
        <v>0.16</v>
      </c>
      <c r="P9" s="15" t="s">
        <v>136</v>
      </c>
      <c r="Q9" s="3">
        <v>0.12</v>
      </c>
    </row>
    <row r="10" spans="1:17">
      <c r="A10" t="s">
        <v>59</v>
      </c>
      <c r="B10" t="s">
        <v>61</v>
      </c>
      <c r="C10" s="13" t="s">
        <v>62</v>
      </c>
      <c r="D10" s="16">
        <v>4000</v>
      </c>
      <c r="E10" s="12">
        <v>0.14000000000000001</v>
      </c>
      <c r="F10" s="12">
        <v>0.23799999999999999</v>
      </c>
      <c r="G10" t="s">
        <v>45</v>
      </c>
      <c r="H10" s="15" t="s">
        <v>133</v>
      </c>
      <c r="I10" s="3">
        <v>0.3</v>
      </c>
      <c r="J10" s="15" t="s">
        <v>134</v>
      </c>
      <c r="K10" s="3">
        <v>0.24</v>
      </c>
      <c r="L10" s="15" t="s">
        <v>132</v>
      </c>
      <c r="M10" s="3">
        <v>0.19</v>
      </c>
      <c r="N10" s="15" t="s">
        <v>135</v>
      </c>
      <c r="O10" s="3">
        <v>0.15</v>
      </c>
      <c r="P10" s="15" t="s">
        <v>188</v>
      </c>
      <c r="Q10" s="3">
        <v>0.12</v>
      </c>
    </row>
    <row r="11" spans="1:17">
      <c r="A11" t="s">
        <v>59</v>
      </c>
      <c r="B11" t="s">
        <v>63</v>
      </c>
      <c r="C11" s="13" t="s">
        <v>64</v>
      </c>
      <c r="D11" s="16">
        <v>112000</v>
      </c>
      <c r="E11" s="12">
        <v>0.08</v>
      </c>
      <c r="F11" s="12">
        <v>0.128</v>
      </c>
      <c r="G11" t="s">
        <v>50</v>
      </c>
      <c r="H11" s="15" t="s">
        <v>132</v>
      </c>
      <c r="I11" s="3">
        <v>0.28000000000000003</v>
      </c>
      <c r="J11" s="15" t="s">
        <v>133</v>
      </c>
      <c r="K11" s="3">
        <v>0.24</v>
      </c>
      <c r="L11" s="15" t="s">
        <v>134</v>
      </c>
      <c r="M11" s="3">
        <v>0.2</v>
      </c>
      <c r="N11" s="15" t="s">
        <v>135</v>
      </c>
      <c r="O11" s="3">
        <v>0.16</v>
      </c>
      <c r="P11" s="15" t="s">
        <v>136</v>
      </c>
      <c r="Q11" s="3">
        <v>0.12</v>
      </c>
    </row>
    <row r="12" spans="1:17">
      <c r="A12" t="s">
        <v>59</v>
      </c>
      <c r="B12" t="s">
        <v>66</v>
      </c>
      <c r="C12" s="13" t="s">
        <v>67</v>
      </c>
      <c r="D12" s="16">
        <v>28000</v>
      </c>
      <c r="E12" s="12">
        <v>0.09</v>
      </c>
      <c r="F12" s="12">
        <v>0.14399999999999999</v>
      </c>
      <c r="G12" t="s">
        <v>50</v>
      </c>
      <c r="H12" s="15" t="s">
        <v>132</v>
      </c>
      <c r="I12" s="3">
        <v>0.28000000000000003</v>
      </c>
      <c r="J12" s="15" t="s">
        <v>133</v>
      </c>
      <c r="K12" s="3">
        <v>0.24</v>
      </c>
      <c r="L12" s="15" t="s">
        <v>134</v>
      </c>
      <c r="M12" s="3">
        <v>0.2</v>
      </c>
      <c r="N12" s="15" t="s">
        <v>135</v>
      </c>
      <c r="O12" s="3">
        <v>0.16</v>
      </c>
      <c r="P12" s="15" t="s">
        <v>136</v>
      </c>
      <c r="Q12" s="3">
        <v>0.12</v>
      </c>
    </row>
    <row r="13" spans="1:17">
      <c r="A13" t="s">
        <v>59</v>
      </c>
      <c r="B13" t="s">
        <v>68</v>
      </c>
      <c r="C13" s="13" t="s">
        <v>69</v>
      </c>
      <c r="D13" s="16">
        <v>138000</v>
      </c>
      <c r="E13" s="12">
        <v>7.0000000000000007E-2</v>
      </c>
      <c r="F13" s="12">
        <v>0.112</v>
      </c>
      <c r="G13" t="s">
        <v>50</v>
      </c>
      <c r="H13" s="15" t="s">
        <v>132</v>
      </c>
      <c r="I13" s="3">
        <v>0.28000000000000003</v>
      </c>
      <c r="J13" s="15" t="s">
        <v>133</v>
      </c>
      <c r="K13" s="3">
        <v>0.24</v>
      </c>
      <c r="L13" s="15" t="s">
        <v>134</v>
      </c>
      <c r="M13" s="3">
        <v>0.2</v>
      </c>
      <c r="N13" s="15" t="s">
        <v>135</v>
      </c>
      <c r="O13" s="3">
        <v>0.16</v>
      </c>
      <c r="P13" s="15" t="s">
        <v>136</v>
      </c>
      <c r="Q13" s="3">
        <v>0.12</v>
      </c>
    </row>
    <row r="14" spans="1:17">
      <c r="A14" t="s">
        <v>70</v>
      </c>
      <c r="B14" t="s">
        <v>71</v>
      </c>
      <c r="C14" s="13" t="s">
        <v>72</v>
      </c>
      <c r="D14" s="16">
        <v>115000</v>
      </c>
      <c r="E14" s="12">
        <v>0.08</v>
      </c>
      <c r="F14" s="12">
        <v>0.128</v>
      </c>
      <c r="G14" t="s">
        <v>50</v>
      </c>
      <c r="H14" s="15" t="s">
        <v>132</v>
      </c>
      <c r="I14" s="3">
        <v>0.28000000000000003</v>
      </c>
      <c r="J14" s="15" t="s">
        <v>133</v>
      </c>
      <c r="K14" s="3">
        <v>0.24</v>
      </c>
      <c r="L14" s="15" t="s">
        <v>134</v>
      </c>
      <c r="M14" s="3">
        <v>0.2</v>
      </c>
      <c r="N14" s="15" t="s">
        <v>135</v>
      </c>
      <c r="O14" s="3">
        <v>0.16</v>
      </c>
      <c r="P14" s="15" t="s">
        <v>136</v>
      </c>
      <c r="Q14" s="3">
        <v>0.12</v>
      </c>
    </row>
    <row r="15" spans="1:17">
      <c r="A15" t="s">
        <v>70</v>
      </c>
      <c r="B15" t="s">
        <v>73</v>
      </c>
      <c r="C15" s="13" t="s">
        <v>74</v>
      </c>
      <c r="D15" s="16">
        <v>48000</v>
      </c>
      <c r="E15" s="12">
        <v>0.14000000000000001</v>
      </c>
      <c r="F15" s="12">
        <v>0.23799999999999999</v>
      </c>
      <c r="G15" t="s">
        <v>45</v>
      </c>
      <c r="H15" s="15" t="s">
        <v>133</v>
      </c>
      <c r="I15" s="3">
        <v>0.3</v>
      </c>
      <c r="J15" s="15" t="s">
        <v>134</v>
      </c>
      <c r="K15" s="3">
        <v>0.24</v>
      </c>
      <c r="L15" s="15" t="s">
        <v>132</v>
      </c>
      <c r="M15" s="3">
        <v>0.19</v>
      </c>
      <c r="N15" s="15" t="s">
        <v>135</v>
      </c>
      <c r="O15" s="3">
        <v>0.15</v>
      </c>
      <c r="P15" s="15" t="s">
        <v>188</v>
      </c>
      <c r="Q15" s="3">
        <v>0.12</v>
      </c>
    </row>
    <row r="16" spans="1:17">
      <c r="A16" t="s">
        <v>70</v>
      </c>
      <c r="B16" t="s">
        <v>75</v>
      </c>
      <c r="C16" s="13" t="s">
        <v>76</v>
      </c>
      <c r="D16" s="16">
        <v>52000</v>
      </c>
      <c r="E16" s="12">
        <v>0.08</v>
      </c>
      <c r="F16" s="12">
        <v>0.128</v>
      </c>
      <c r="G16" t="s">
        <v>50</v>
      </c>
      <c r="H16" s="15" t="s">
        <v>132</v>
      </c>
      <c r="I16" s="3">
        <v>0.28000000000000003</v>
      </c>
      <c r="J16" s="15" t="s">
        <v>133</v>
      </c>
      <c r="K16" s="3">
        <v>0.24</v>
      </c>
      <c r="L16" s="15" t="s">
        <v>134</v>
      </c>
      <c r="M16" s="3">
        <v>0.2</v>
      </c>
      <c r="N16" s="15" t="s">
        <v>135</v>
      </c>
      <c r="O16" s="3">
        <v>0.16</v>
      </c>
      <c r="P16" s="15" t="s">
        <v>136</v>
      </c>
      <c r="Q16" s="3">
        <v>0.12</v>
      </c>
    </row>
    <row r="17" spans="1:17">
      <c r="A17" t="s">
        <v>70</v>
      </c>
      <c r="B17" t="s">
        <v>77</v>
      </c>
      <c r="C17" s="13" t="s">
        <v>78</v>
      </c>
      <c r="D17" s="16">
        <v>68000</v>
      </c>
      <c r="E17" s="12">
        <v>0.1</v>
      </c>
      <c r="F17" s="12">
        <v>0.16500000000000001</v>
      </c>
      <c r="G17" t="s">
        <v>45</v>
      </c>
      <c r="H17" s="15" t="s">
        <v>133</v>
      </c>
      <c r="I17" s="3">
        <v>0.28999999999999998</v>
      </c>
      <c r="J17" s="15" t="s">
        <v>132</v>
      </c>
      <c r="K17" s="3">
        <v>0.24</v>
      </c>
      <c r="L17" s="15" t="s">
        <v>134</v>
      </c>
      <c r="M17" s="3">
        <v>0.19</v>
      </c>
      <c r="N17" s="15" t="s">
        <v>135</v>
      </c>
      <c r="O17" s="3">
        <v>0.16</v>
      </c>
      <c r="P17" s="15" t="s">
        <v>136</v>
      </c>
      <c r="Q17" s="3">
        <v>0.12</v>
      </c>
    </row>
    <row r="18" spans="1:17">
      <c r="A18" t="s">
        <v>70</v>
      </c>
      <c r="B18" t="s">
        <v>79</v>
      </c>
      <c r="C18" s="13" t="s">
        <v>80</v>
      </c>
      <c r="D18" s="16">
        <v>49000</v>
      </c>
      <c r="E18" s="12">
        <v>0.15</v>
      </c>
      <c r="F18" s="12">
        <v>0.255</v>
      </c>
      <c r="G18" t="s">
        <v>65</v>
      </c>
      <c r="H18" s="15" t="s">
        <v>133</v>
      </c>
      <c r="I18" s="3">
        <v>0.3</v>
      </c>
      <c r="J18" s="15" t="s">
        <v>134</v>
      </c>
      <c r="K18" s="3">
        <v>0.24</v>
      </c>
      <c r="L18" s="15" t="s">
        <v>132</v>
      </c>
      <c r="M18" s="3">
        <v>0.19</v>
      </c>
      <c r="N18" s="15" t="s">
        <v>135</v>
      </c>
      <c r="O18" s="3">
        <v>0.15</v>
      </c>
      <c r="P18" s="15" t="s">
        <v>188</v>
      </c>
      <c r="Q18" s="3">
        <v>0.12</v>
      </c>
    </row>
    <row r="19" spans="1:17">
      <c r="A19" t="s">
        <v>70</v>
      </c>
      <c r="B19" t="s">
        <v>81</v>
      </c>
      <c r="C19" s="13" t="s">
        <v>82</v>
      </c>
      <c r="D19" s="16">
        <v>62000</v>
      </c>
      <c r="E19" s="12">
        <v>0.12</v>
      </c>
      <c r="F19" s="12">
        <v>0.19800000000000001</v>
      </c>
      <c r="G19" t="s">
        <v>45</v>
      </c>
      <c r="H19" s="15" t="s">
        <v>133</v>
      </c>
      <c r="I19" s="3">
        <v>0.28999999999999998</v>
      </c>
      <c r="J19" s="15" t="s">
        <v>132</v>
      </c>
      <c r="K19" s="3">
        <v>0.24</v>
      </c>
      <c r="L19" s="15" t="s">
        <v>134</v>
      </c>
      <c r="M19" s="3">
        <v>0.19</v>
      </c>
      <c r="N19" s="15" t="s">
        <v>135</v>
      </c>
      <c r="O19" s="3">
        <v>0.16</v>
      </c>
      <c r="P19" s="15" t="s">
        <v>136</v>
      </c>
      <c r="Q19" s="3">
        <v>0.12</v>
      </c>
    </row>
    <row r="20" spans="1:17">
      <c r="A20" t="s">
        <v>83</v>
      </c>
      <c r="B20" t="s">
        <v>84</v>
      </c>
      <c r="C20" s="13" t="s">
        <v>85</v>
      </c>
      <c r="D20" s="16">
        <v>48000</v>
      </c>
      <c r="E20" s="12">
        <v>0.1</v>
      </c>
      <c r="F20" s="12">
        <v>0.16500000000000001</v>
      </c>
      <c r="G20" t="s">
        <v>45</v>
      </c>
      <c r="H20" s="15" t="s">
        <v>133</v>
      </c>
      <c r="I20" s="3">
        <v>0.28999999999999998</v>
      </c>
      <c r="J20" s="15" t="s">
        <v>132</v>
      </c>
      <c r="K20" s="3">
        <v>0.24</v>
      </c>
      <c r="L20" s="15" t="s">
        <v>134</v>
      </c>
      <c r="M20" s="3">
        <v>0.19</v>
      </c>
      <c r="N20" s="15" t="s">
        <v>135</v>
      </c>
      <c r="O20" s="3">
        <v>0.16</v>
      </c>
      <c r="P20" s="15" t="s">
        <v>136</v>
      </c>
      <c r="Q20" s="3">
        <v>0.12</v>
      </c>
    </row>
    <row r="21" spans="1:17">
      <c r="A21" t="s">
        <v>83</v>
      </c>
      <c r="B21" t="s">
        <v>86</v>
      </c>
      <c r="C21" s="13" t="s">
        <v>87</v>
      </c>
      <c r="D21" s="16">
        <v>28000</v>
      </c>
      <c r="E21" s="12">
        <v>0.08</v>
      </c>
      <c r="F21" s="12">
        <v>0.128</v>
      </c>
      <c r="G21" t="s">
        <v>50</v>
      </c>
      <c r="H21" s="15" t="s">
        <v>132</v>
      </c>
      <c r="I21" s="3">
        <v>0.28000000000000003</v>
      </c>
      <c r="J21" s="15" t="s">
        <v>133</v>
      </c>
      <c r="K21" s="3">
        <v>0.24</v>
      </c>
      <c r="L21" s="15" t="s">
        <v>134</v>
      </c>
      <c r="M21" s="3">
        <v>0.2</v>
      </c>
      <c r="N21" s="15" t="s">
        <v>135</v>
      </c>
      <c r="O21" s="3">
        <v>0.16</v>
      </c>
      <c r="P21" s="15" t="s">
        <v>136</v>
      </c>
      <c r="Q21" s="3">
        <v>0.12</v>
      </c>
    </row>
    <row r="22" spans="1:17">
      <c r="A22" t="s">
        <v>83</v>
      </c>
      <c r="B22" t="s">
        <v>88</v>
      </c>
      <c r="C22" s="13" t="s">
        <v>89</v>
      </c>
      <c r="D22" s="16">
        <v>38000</v>
      </c>
      <c r="E22" s="12">
        <v>0.15</v>
      </c>
      <c r="F22" s="12">
        <v>0.255</v>
      </c>
      <c r="G22" t="s">
        <v>65</v>
      </c>
      <c r="H22" s="15" t="s">
        <v>133</v>
      </c>
      <c r="I22" s="3">
        <v>0.3</v>
      </c>
      <c r="J22" s="15" t="s">
        <v>134</v>
      </c>
      <c r="K22" s="3">
        <v>0.24</v>
      </c>
      <c r="L22" s="15" t="s">
        <v>132</v>
      </c>
      <c r="M22" s="3">
        <v>0.19</v>
      </c>
      <c r="N22" s="15" t="s">
        <v>135</v>
      </c>
      <c r="O22" s="3">
        <v>0.15</v>
      </c>
      <c r="P22" s="15" t="s">
        <v>188</v>
      </c>
      <c r="Q22" s="3">
        <v>0.12</v>
      </c>
    </row>
    <row r="23" spans="1:17">
      <c r="A23" t="s">
        <v>83</v>
      </c>
      <c r="B23" t="s">
        <v>90</v>
      </c>
      <c r="C23" s="13" t="s">
        <v>91</v>
      </c>
      <c r="D23" s="16">
        <v>22000</v>
      </c>
      <c r="E23" s="12">
        <v>0.09</v>
      </c>
      <c r="F23" s="12">
        <v>0.14399999999999999</v>
      </c>
      <c r="G23" t="s">
        <v>50</v>
      </c>
      <c r="H23" s="15" t="s">
        <v>132</v>
      </c>
      <c r="I23" s="3">
        <v>0.28000000000000003</v>
      </c>
      <c r="J23" s="15" t="s">
        <v>133</v>
      </c>
      <c r="K23" s="3">
        <v>0.24</v>
      </c>
      <c r="L23" s="15" t="s">
        <v>134</v>
      </c>
      <c r="M23" s="3">
        <v>0.2</v>
      </c>
      <c r="N23" s="15" t="s">
        <v>135</v>
      </c>
      <c r="O23" s="3">
        <v>0.16</v>
      </c>
      <c r="P23" s="15" t="s">
        <v>136</v>
      </c>
      <c r="Q23" s="3">
        <v>0.12</v>
      </c>
    </row>
    <row r="24" spans="1:17">
      <c r="A24" t="s">
        <v>83</v>
      </c>
      <c r="B24" t="s">
        <v>92</v>
      </c>
      <c r="C24" s="13" t="s">
        <v>93</v>
      </c>
      <c r="D24" s="16">
        <v>54000</v>
      </c>
      <c r="E24" s="12">
        <v>0.12</v>
      </c>
      <c r="F24" s="12">
        <v>0.19800000000000001</v>
      </c>
      <c r="G24" t="s">
        <v>45</v>
      </c>
      <c r="H24" s="15" t="s">
        <v>133</v>
      </c>
      <c r="I24" s="3">
        <v>0.28999999999999998</v>
      </c>
      <c r="J24" s="15" t="s">
        <v>132</v>
      </c>
      <c r="K24" s="3">
        <v>0.24</v>
      </c>
      <c r="L24" s="15" t="s">
        <v>134</v>
      </c>
      <c r="M24" s="3">
        <v>0.19</v>
      </c>
      <c r="N24" s="15" t="s">
        <v>135</v>
      </c>
      <c r="O24" s="3">
        <v>0.16</v>
      </c>
      <c r="P24" s="15" t="s">
        <v>136</v>
      </c>
      <c r="Q24" s="3">
        <v>0.12</v>
      </c>
    </row>
    <row r="25" spans="1:17">
      <c r="A25" t="s">
        <v>83</v>
      </c>
      <c r="B25" t="s">
        <v>83</v>
      </c>
      <c r="C25" s="13" t="s">
        <v>94</v>
      </c>
      <c r="D25" s="16">
        <v>78000</v>
      </c>
      <c r="E25" s="12">
        <v>0.13</v>
      </c>
      <c r="F25" s="12">
        <v>0.215</v>
      </c>
      <c r="G25" t="s">
        <v>45</v>
      </c>
      <c r="H25" s="15" t="s">
        <v>133</v>
      </c>
      <c r="I25" s="3">
        <v>0.28999999999999998</v>
      </c>
      <c r="J25" s="15" t="s">
        <v>132</v>
      </c>
      <c r="K25" s="3">
        <v>0.24</v>
      </c>
      <c r="L25" s="15" t="s">
        <v>134</v>
      </c>
      <c r="M25" s="3">
        <v>0.19</v>
      </c>
      <c r="N25" s="15" t="s">
        <v>135</v>
      </c>
      <c r="O25" s="3">
        <v>0.16</v>
      </c>
      <c r="P25" s="15" t="s">
        <v>136</v>
      </c>
      <c r="Q25" s="3">
        <v>0.12</v>
      </c>
    </row>
    <row r="26" spans="1:17">
      <c r="A26" t="s">
        <v>83</v>
      </c>
      <c r="B26" t="s">
        <v>95</v>
      </c>
      <c r="C26" s="13" t="s">
        <v>96</v>
      </c>
      <c r="D26" s="16">
        <v>124000</v>
      </c>
      <c r="E26" s="12">
        <v>0.14000000000000001</v>
      </c>
      <c r="F26" s="12">
        <v>0.23100000000000001</v>
      </c>
      <c r="G26" t="s">
        <v>45</v>
      </c>
      <c r="H26" s="15" t="s">
        <v>133</v>
      </c>
      <c r="I26" s="3">
        <v>0.28999999999999998</v>
      </c>
      <c r="J26" s="15" t="s">
        <v>132</v>
      </c>
      <c r="K26" s="3">
        <v>0.24</v>
      </c>
      <c r="L26" s="15" t="s">
        <v>134</v>
      </c>
      <c r="M26" s="3">
        <v>0.19</v>
      </c>
      <c r="N26" s="15" t="s">
        <v>135</v>
      </c>
      <c r="O26" s="3">
        <v>0.16</v>
      </c>
      <c r="P26" s="15" t="s">
        <v>136</v>
      </c>
      <c r="Q26" s="3">
        <v>0.12</v>
      </c>
    </row>
    <row r="27" spans="1:17">
      <c r="A27" t="s">
        <v>83</v>
      </c>
      <c r="B27" t="s">
        <v>97</v>
      </c>
      <c r="C27" s="13" t="s">
        <v>98</v>
      </c>
      <c r="D27" s="16">
        <v>64000</v>
      </c>
      <c r="E27" s="12">
        <v>0.15</v>
      </c>
      <c r="F27" s="12">
        <v>0.248</v>
      </c>
      <c r="G27" t="s">
        <v>45</v>
      </c>
      <c r="H27" s="15" t="s">
        <v>133</v>
      </c>
      <c r="I27" s="3">
        <v>0.28999999999999998</v>
      </c>
      <c r="J27" s="15" t="s">
        <v>132</v>
      </c>
      <c r="K27" s="3">
        <v>0.24</v>
      </c>
      <c r="L27" s="15" t="s">
        <v>134</v>
      </c>
      <c r="M27" s="3">
        <v>0.19</v>
      </c>
      <c r="N27" s="15" t="s">
        <v>135</v>
      </c>
      <c r="O27" s="3">
        <v>0.16</v>
      </c>
      <c r="P27" s="15" t="s">
        <v>136</v>
      </c>
      <c r="Q27" s="3">
        <v>0.12</v>
      </c>
    </row>
    <row r="28" spans="1:17">
      <c r="A28" t="s">
        <v>99</v>
      </c>
      <c r="B28" t="s">
        <v>100</v>
      </c>
      <c r="C28" s="13" t="s">
        <v>101</v>
      </c>
      <c r="D28" s="16">
        <v>34000</v>
      </c>
      <c r="E28" s="12">
        <v>0.18</v>
      </c>
      <c r="F28" s="12">
        <v>0.30599999999999999</v>
      </c>
      <c r="G28" t="s">
        <v>65</v>
      </c>
      <c r="H28" s="15" t="s">
        <v>133</v>
      </c>
      <c r="I28" s="3">
        <v>0.3</v>
      </c>
      <c r="J28" s="15" t="s">
        <v>134</v>
      </c>
      <c r="K28" s="3">
        <v>0.24</v>
      </c>
      <c r="L28" s="15" t="s">
        <v>132</v>
      </c>
      <c r="M28" s="3">
        <v>0.19</v>
      </c>
      <c r="N28" s="15" t="s">
        <v>135</v>
      </c>
      <c r="O28" s="3">
        <v>0.15</v>
      </c>
      <c r="P28" s="15" t="s">
        <v>188</v>
      </c>
      <c r="Q28" s="3">
        <v>0.12</v>
      </c>
    </row>
    <row r="29" spans="1:17">
      <c r="A29" t="s">
        <v>99</v>
      </c>
      <c r="B29" t="s">
        <v>99</v>
      </c>
      <c r="C29" s="13" t="s">
        <v>102</v>
      </c>
      <c r="D29" s="16">
        <v>22000</v>
      </c>
      <c r="E29" s="12">
        <v>0.22</v>
      </c>
      <c r="F29" s="12">
        <v>0.374</v>
      </c>
      <c r="G29" t="s">
        <v>65</v>
      </c>
      <c r="H29" s="15" t="s">
        <v>133</v>
      </c>
      <c r="I29" s="3">
        <v>0.3</v>
      </c>
      <c r="J29" s="15" t="s">
        <v>134</v>
      </c>
      <c r="K29" s="3">
        <v>0.24</v>
      </c>
      <c r="L29" s="15" t="s">
        <v>132</v>
      </c>
      <c r="M29" s="3">
        <v>0.19</v>
      </c>
      <c r="N29" s="15" t="s">
        <v>135</v>
      </c>
      <c r="O29" s="3">
        <v>0.15</v>
      </c>
      <c r="P29" s="15" t="s">
        <v>188</v>
      </c>
      <c r="Q29" s="3">
        <v>0.12</v>
      </c>
    </row>
    <row r="30" spans="1:17">
      <c r="A30" t="s">
        <v>99</v>
      </c>
      <c r="B30" t="s">
        <v>103</v>
      </c>
      <c r="C30" s="13" t="s">
        <v>104</v>
      </c>
      <c r="D30" s="16">
        <v>42000</v>
      </c>
      <c r="E30" s="12">
        <v>0.18</v>
      </c>
      <c r="F30" s="12">
        <v>0.30599999999999999</v>
      </c>
      <c r="G30" t="s">
        <v>65</v>
      </c>
      <c r="H30" s="15" t="s">
        <v>133</v>
      </c>
      <c r="I30" s="3">
        <v>0.3</v>
      </c>
      <c r="J30" s="15" t="s">
        <v>134</v>
      </c>
      <c r="K30" s="3">
        <v>0.24</v>
      </c>
      <c r="L30" s="15" t="s">
        <v>132</v>
      </c>
      <c r="M30" s="3">
        <v>0.19</v>
      </c>
      <c r="N30" s="15" t="s">
        <v>135</v>
      </c>
      <c r="O30" s="3">
        <v>0.15</v>
      </c>
      <c r="P30" s="15" t="s">
        <v>188</v>
      </c>
      <c r="Q30" s="3">
        <v>0.12</v>
      </c>
    </row>
    <row r="31" spans="1:17">
      <c r="A31" t="s">
        <v>99</v>
      </c>
      <c r="B31" t="s">
        <v>105</v>
      </c>
      <c r="C31" s="13" t="s">
        <v>106</v>
      </c>
      <c r="D31" s="16">
        <v>26000</v>
      </c>
      <c r="E31" s="12">
        <v>0.2</v>
      </c>
      <c r="F31" s="12">
        <v>0.34</v>
      </c>
      <c r="G31" t="s">
        <v>65</v>
      </c>
      <c r="H31" s="15" t="s">
        <v>133</v>
      </c>
      <c r="I31" s="3">
        <v>0.3</v>
      </c>
      <c r="J31" s="15" t="s">
        <v>134</v>
      </c>
      <c r="K31" s="3">
        <v>0.24</v>
      </c>
      <c r="L31" s="15" t="s">
        <v>132</v>
      </c>
      <c r="M31" s="3">
        <v>0.19</v>
      </c>
      <c r="N31" s="15" t="s">
        <v>135</v>
      </c>
      <c r="O31" s="3">
        <v>0.15</v>
      </c>
      <c r="P31" s="15" t="s">
        <v>188</v>
      </c>
      <c r="Q31" s="3">
        <v>0.12</v>
      </c>
    </row>
    <row r="32" spans="1:17">
      <c r="A32" t="s">
        <v>122</v>
      </c>
      <c r="B32" t="s">
        <v>122</v>
      </c>
      <c r="C32" s="13" t="s">
        <v>123</v>
      </c>
      <c r="D32" s="16">
        <v>102551.3</v>
      </c>
      <c r="E32" s="12">
        <v>0.08</v>
      </c>
      <c r="F32" s="12">
        <v>0.128</v>
      </c>
      <c r="G32" t="s">
        <v>50</v>
      </c>
      <c r="H32" s="15" t="s">
        <v>132</v>
      </c>
      <c r="I32" s="3">
        <v>0.28000000000000003</v>
      </c>
      <c r="J32" s="15" t="s">
        <v>133</v>
      </c>
      <c r="K32" s="3">
        <v>0.24</v>
      </c>
      <c r="L32" s="15" t="s">
        <v>134</v>
      </c>
      <c r="M32" s="3">
        <v>0.2</v>
      </c>
      <c r="N32" s="15" t="s">
        <v>135</v>
      </c>
      <c r="O32" s="3">
        <v>0.16</v>
      </c>
      <c r="P32" s="15" t="s">
        <v>136</v>
      </c>
      <c r="Q32" s="3">
        <v>0.12</v>
      </c>
    </row>
    <row r="33" spans="1:17">
      <c r="A33" t="s">
        <v>122</v>
      </c>
      <c r="B33" t="s">
        <v>124</v>
      </c>
      <c r="C33" s="13" t="s">
        <v>125</v>
      </c>
      <c r="D33" s="16">
        <v>38216.699999999997</v>
      </c>
      <c r="E33" s="12">
        <v>7.0000000000000007E-2</v>
      </c>
      <c r="F33" s="12">
        <v>0.112</v>
      </c>
      <c r="G33" t="s">
        <v>50</v>
      </c>
      <c r="H33" s="15" t="s">
        <v>132</v>
      </c>
      <c r="I33" s="3">
        <v>0.28000000000000003</v>
      </c>
      <c r="J33" s="15" t="s">
        <v>133</v>
      </c>
      <c r="K33" s="3">
        <v>0.24</v>
      </c>
      <c r="L33" s="15" t="s">
        <v>134</v>
      </c>
      <c r="M33" s="3">
        <v>0.2</v>
      </c>
      <c r="N33" s="15" t="s">
        <v>135</v>
      </c>
      <c r="O33" s="3">
        <v>0.16</v>
      </c>
      <c r="P33" s="15" t="s">
        <v>136</v>
      </c>
      <c r="Q33" s="3">
        <v>0.12</v>
      </c>
    </row>
    <row r="34" spans="1:17">
      <c r="A34" t="s">
        <v>122</v>
      </c>
      <c r="B34" t="s">
        <v>126</v>
      </c>
      <c r="C34" s="13" t="s">
        <v>127</v>
      </c>
      <c r="D34" s="16">
        <v>45085</v>
      </c>
      <c r="E34" s="12">
        <v>0.1</v>
      </c>
      <c r="F34" s="12">
        <v>0.16500000000000001</v>
      </c>
      <c r="G34" t="s">
        <v>45</v>
      </c>
      <c r="H34" s="15" t="s">
        <v>133</v>
      </c>
      <c r="I34" s="3">
        <v>0.28999999999999998</v>
      </c>
      <c r="J34" s="15" t="s">
        <v>132</v>
      </c>
      <c r="K34" s="3">
        <v>0.24</v>
      </c>
      <c r="L34" s="15" t="s">
        <v>134</v>
      </c>
      <c r="M34" s="3">
        <v>0.19</v>
      </c>
      <c r="N34" s="15" t="s">
        <v>135</v>
      </c>
      <c r="O34" s="3">
        <v>0.16</v>
      </c>
      <c r="P34" s="15" t="s">
        <v>136</v>
      </c>
      <c r="Q34" s="3">
        <v>0.12</v>
      </c>
    </row>
    <row r="35" spans="1:17">
      <c r="A35" t="s">
        <v>122</v>
      </c>
      <c r="B35" t="s">
        <v>128</v>
      </c>
      <c r="C35" s="13" t="s">
        <v>129</v>
      </c>
      <c r="D35" s="16">
        <v>84500</v>
      </c>
      <c r="E35" s="12">
        <v>0.08</v>
      </c>
      <c r="F35" s="12">
        <v>0.128</v>
      </c>
      <c r="G35" t="s">
        <v>50</v>
      </c>
      <c r="H35" s="15" t="s">
        <v>132</v>
      </c>
      <c r="I35" s="3">
        <v>0.28000000000000003</v>
      </c>
      <c r="J35" s="15" t="s">
        <v>133</v>
      </c>
      <c r="K35" s="3">
        <v>0.24</v>
      </c>
      <c r="L35" s="15" t="s">
        <v>134</v>
      </c>
      <c r="M35" s="3">
        <v>0.2</v>
      </c>
      <c r="N35" s="15" t="s">
        <v>135</v>
      </c>
      <c r="O35" s="3">
        <v>0.16</v>
      </c>
      <c r="P35" s="15" t="s">
        <v>136</v>
      </c>
      <c r="Q35" s="3">
        <v>0.12</v>
      </c>
    </row>
  </sheetData>
  <pageMargins left="0.7" right="0.7" top="0.75" bottom="0.75" header="0.3" footer="0.3"/>
  <headerFooter>
    <oddFooter>&amp;R_x000D_&amp;1#&amp;"Aptos"&amp;22&amp;KFF8939 RESTRICTED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D6764-92C4-4512-A5C6-D689591F8DE9}">
  <dimension ref="A1:S35"/>
  <sheetViews>
    <sheetView topLeftCell="E1" workbookViewId="0">
      <selection activeCell="V4" sqref="V4"/>
    </sheetView>
  </sheetViews>
  <sheetFormatPr defaultRowHeight="14.5"/>
  <cols>
    <col min="1" max="1" width="12.90625" bestFit="1" customWidth="1"/>
    <col min="2" max="2" width="14.7265625" bestFit="1" customWidth="1"/>
    <col min="3" max="3" width="34.54296875" customWidth="1"/>
    <col min="4" max="4" width="11.7265625" bestFit="1" customWidth="1"/>
    <col min="5" max="5" width="12.90625" bestFit="1" customWidth="1"/>
    <col min="6" max="6" width="12" bestFit="1" customWidth="1"/>
    <col min="7" max="7" width="9.08984375" bestFit="1" customWidth="1"/>
    <col min="8" max="19" width="7.54296875" bestFit="1" customWidth="1"/>
  </cols>
  <sheetData>
    <row r="1" spans="1:19" ht="56">
      <c r="A1" s="1" t="s">
        <v>24</v>
      </c>
      <c r="B1" s="1" t="s">
        <v>25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30</v>
      </c>
      <c r="H1" s="1" t="s">
        <v>31</v>
      </c>
      <c r="I1" s="1" t="s">
        <v>175</v>
      </c>
      <c r="J1" s="1" t="s">
        <v>33</v>
      </c>
      <c r="K1" s="1" t="s">
        <v>34</v>
      </c>
      <c r="L1" s="1" t="s">
        <v>35</v>
      </c>
      <c r="M1" s="1" t="s">
        <v>176</v>
      </c>
      <c r="N1" s="1" t="s">
        <v>37</v>
      </c>
      <c r="O1" s="1" t="s">
        <v>177</v>
      </c>
      <c r="P1" s="1" t="s">
        <v>39</v>
      </c>
      <c r="Q1" s="1" t="s">
        <v>40</v>
      </c>
      <c r="R1" s="1" t="s">
        <v>41</v>
      </c>
      <c r="S1" s="1" t="s">
        <v>42</v>
      </c>
    </row>
    <row r="2" spans="1:19" ht="15" thickBot="1">
      <c r="A2" s="2" t="s">
        <v>43</v>
      </c>
      <c r="B2" s="2" t="s">
        <v>43</v>
      </c>
      <c r="C2" s="8" t="s">
        <v>137</v>
      </c>
      <c r="D2" s="9">
        <v>32509</v>
      </c>
      <c r="E2" s="17">
        <v>0.42</v>
      </c>
      <c r="F2" s="17">
        <f t="shared" ref="F2:F35" si="0">MIN(100%,ROUND(E2*1.55,3))</f>
        <v>0.65100000000000002</v>
      </c>
      <c r="G2" s="2" t="str">
        <f t="shared" ref="G2:G35" si="1">IF(F2&gt;35%,"Tinggi",IF(F2&gt;=20%,"Sedang","Rendah"))</f>
        <v>Tinggi</v>
      </c>
      <c r="H2" s="17">
        <f t="shared" ref="H2:H35" si="2">MIN(100%,ROUND($E2*0.45,3))</f>
        <v>0.189</v>
      </c>
      <c r="I2" s="17">
        <f t="shared" ref="I2:I35" si="3">MIN(100%,ROUND($E2*0.4,3))</f>
        <v>0.16800000000000001</v>
      </c>
      <c r="J2" s="17">
        <f t="shared" ref="J2:J35" si="4">MIN(100%,ROUND($E2*0.5,3))</f>
        <v>0.21</v>
      </c>
      <c r="K2" s="17">
        <f t="shared" ref="K2:K35" si="5">MIN(100%,ROUND($E2*0.7,3))</f>
        <v>0.29399999999999998</v>
      </c>
      <c r="L2" s="17">
        <f t="shared" ref="L2:L35" si="6">MIN(100%,ROUND($E2*0.9,3))</f>
        <v>0.378</v>
      </c>
      <c r="M2" s="17">
        <f t="shared" ref="M2:M35" si="7">MIN(100%,ROUND($E2*1.1,3))</f>
        <v>0.46200000000000002</v>
      </c>
      <c r="N2" s="17">
        <f t="shared" ref="N2:N35" si="8">MIN(100%,ROUND($E2*1.25,3))</f>
        <v>0.52500000000000002</v>
      </c>
      <c r="O2" s="17">
        <f t="shared" ref="O2:O35" si="9">MIN(100%,ROUND($E2*1.35,3))</f>
        <v>0.56699999999999995</v>
      </c>
      <c r="P2" s="17">
        <f t="shared" ref="P2:P35" si="10">MIN(100%,ROUND($E2*1.25,3))</f>
        <v>0.52500000000000002</v>
      </c>
      <c r="Q2" s="17">
        <f t="shared" ref="Q2:Q35" si="11">MIN(100%,ROUND($E2*1,3))</f>
        <v>0.42</v>
      </c>
      <c r="R2" s="17">
        <f t="shared" ref="R2:R35" si="12">MIN(100%,ROUND($E2*0.7,3))</f>
        <v>0.29399999999999998</v>
      </c>
      <c r="S2" s="17">
        <f t="shared" ref="S2:S35" si="13">MIN(100%,ROUND($E2*0.5,3))</f>
        <v>0.21</v>
      </c>
    </row>
    <row r="3" spans="1:19" ht="15" thickBot="1">
      <c r="A3" s="6" t="s">
        <v>43</v>
      </c>
      <c r="B3" s="6" t="s">
        <v>46</v>
      </c>
      <c r="C3" s="7" t="s">
        <v>138</v>
      </c>
      <c r="D3" s="10">
        <v>1800</v>
      </c>
      <c r="E3" s="18">
        <v>0.3</v>
      </c>
      <c r="F3" s="18">
        <f t="shared" si="0"/>
        <v>0.46500000000000002</v>
      </c>
      <c r="G3" s="6" t="str">
        <f t="shared" si="1"/>
        <v>Tinggi</v>
      </c>
      <c r="H3" s="18">
        <f t="shared" si="2"/>
        <v>0.13500000000000001</v>
      </c>
      <c r="I3" s="18">
        <f t="shared" si="3"/>
        <v>0.12</v>
      </c>
      <c r="J3" s="18">
        <f t="shared" si="4"/>
        <v>0.15</v>
      </c>
      <c r="K3" s="18">
        <f t="shared" si="5"/>
        <v>0.21</v>
      </c>
      <c r="L3" s="18">
        <f t="shared" si="6"/>
        <v>0.27</v>
      </c>
      <c r="M3" s="18">
        <f t="shared" si="7"/>
        <v>0.33</v>
      </c>
      <c r="N3" s="18">
        <f t="shared" si="8"/>
        <v>0.375</v>
      </c>
      <c r="O3" s="18">
        <f t="shared" si="9"/>
        <v>0.40500000000000003</v>
      </c>
      <c r="P3" s="18">
        <f t="shared" si="10"/>
        <v>0.375</v>
      </c>
      <c r="Q3" s="18">
        <f t="shared" si="11"/>
        <v>0.3</v>
      </c>
      <c r="R3" s="18">
        <f t="shared" si="12"/>
        <v>0.21</v>
      </c>
      <c r="S3" s="18">
        <f t="shared" si="13"/>
        <v>0.15</v>
      </c>
    </row>
    <row r="4" spans="1:19" ht="15" thickBot="1">
      <c r="A4" s="6" t="s">
        <v>43</v>
      </c>
      <c r="B4" s="6" t="s">
        <v>48</v>
      </c>
      <c r="C4" s="7" t="s">
        <v>139</v>
      </c>
      <c r="D4" s="10">
        <v>250</v>
      </c>
      <c r="E4" s="18">
        <v>0.18</v>
      </c>
      <c r="F4" s="18">
        <f t="shared" si="0"/>
        <v>0.27900000000000003</v>
      </c>
      <c r="G4" s="6" t="str">
        <f t="shared" si="1"/>
        <v>Sedang</v>
      </c>
      <c r="H4" s="18">
        <f t="shared" si="2"/>
        <v>8.1000000000000003E-2</v>
      </c>
      <c r="I4" s="18">
        <f t="shared" si="3"/>
        <v>7.1999999999999995E-2</v>
      </c>
      <c r="J4" s="18">
        <f t="shared" si="4"/>
        <v>0.09</v>
      </c>
      <c r="K4" s="18">
        <f t="shared" si="5"/>
        <v>0.126</v>
      </c>
      <c r="L4" s="18">
        <f t="shared" si="6"/>
        <v>0.16200000000000001</v>
      </c>
      <c r="M4" s="18">
        <f t="shared" si="7"/>
        <v>0.19800000000000001</v>
      </c>
      <c r="N4" s="18">
        <f t="shared" si="8"/>
        <v>0.22500000000000001</v>
      </c>
      <c r="O4" s="18">
        <f t="shared" si="9"/>
        <v>0.24299999999999999</v>
      </c>
      <c r="P4" s="18">
        <f t="shared" si="10"/>
        <v>0.22500000000000001</v>
      </c>
      <c r="Q4" s="18">
        <f t="shared" si="11"/>
        <v>0.18</v>
      </c>
      <c r="R4" s="18">
        <f t="shared" si="12"/>
        <v>0.126</v>
      </c>
      <c r="S4" s="18">
        <f t="shared" si="13"/>
        <v>0.09</v>
      </c>
    </row>
    <row r="5" spans="1:19" ht="15" thickBot="1">
      <c r="A5" s="6" t="s">
        <v>51</v>
      </c>
      <c r="B5" s="6" t="s">
        <v>52</v>
      </c>
      <c r="C5" s="7" t="s">
        <v>140</v>
      </c>
      <c r="D5" s="10">
        <v>700</v>
      </c>
      <c r="E5" s="18">
        <v>0.24</v>
      </c>
      <c r="F5" s="18">
        <f t="shared" si="0"/>
        <v>0.372</v>
      </c>
      <c r="G5" s="6" t="str">
        <f t="shared" si="1"/>
        <v>Tinggi</v>
      </c>
      <c r="H5" s="18">
        <f t="shared" si="2"/>
        <v>0.108</v>
      </c>
      <c r="I5" s="18">
        <f t="shared" si="3"/>
        <v>9.6000000000000002E-2</v>
      </c>
      <c r="J5" s="18">
        <f t="shared" si="4"/>
        <v>0.12</v>
      </c>
      <c r="K5" s="18">
        <f t="shared" si="5"/>
        <v>0.16800000000000001</v>
      </c>
      <c r="L5" s="18">
        <f t="shared" si="6"/>
        <v>0.216</v>
      </c>
      <c r="M5" s="18">
        <f t="shared" si="7"/>
        <v>0.26400000000000001</v>
      </c>
      <c r="N5" s="18">
        <f t="shared" si="8"/>
        <v>0.3</v>
      </c>
      <c r="O5" s="18">
        <f t="shared" si="9"/>
        <v>0.32400000000000001</v>
      </c>
      <c r="P5" s="18">
        <f t="shared" si="10"/>
        <v>0.3</v>
      </c>
      <c r="Q5" s="18">
        <f t="shared" si="11"/>
        <v>0.24</v>
      </c>
      <c r="R5" s="18">
        <f t="shared" si="12"/>
        <v>0.16800000000000001</v>
      </c>
      <c r="S5" s="18">
        <f t="shared" si="13"/>
        <v>0.12</v>
      </c>
    </row>
    <row r="6" spans="1:19" ht="15" thickBot="1">
      <c r="A6" s="6" t="s">
        <v>51</v>
      </c>
      <c r="B6" s="6" t="s">
        <v>51</v>
      </c>
      <c r="C6" s="7" t="s">
        <v>141</v>
      </c>
      <c r="D6" s="10">
        <v>350</v>
      </c>
      <c r="E6" s="18">
        <v>0.2</v>
      </c>
      <c r="F6" s="18">
        <f t="shared" si="0"/>
        <v>0.31</v>
      </c>
      <c r="G6" s="6" t="str">
        <f t="shared" si="1"/>
        <v>Sedang</v>
      </c>
      <c r="H6" s="18">
        <f t="shared" si="2"/>
        <v>0.09</v>
      </c>
      <c r="I6" s="18">
        <f t="shared" si="3"/>
        <v>0.08</v>
      </c>
      <c r="J6" s="18">
        <f t="shared" si="4"/>
        <v>0.1</v>
      </c>
      <c r="K6" s="18">
        <f t="shared" si="5"/>
        <v>0.14000000000000001</v>
      </c>
      <c r="L6" s="18">
        <f t="shared" si="6"/>
        <v>0.18</v>
      </c>
      <c r="M6" s="18">
        <f t="shared" si="7"/>
        <v>0.22</v>
      </c>
      <c r="N6" s="18">
        <f t="shared" si="8"/>
        <v>0.25</v>
      </c>
      <c r="O6" s="18">
        <f t="shared" si="9"/>
        <v>0.27</v>
      </c>
      <c r="P6" s="18">
        <f t="shared" si="10"/>
        <v>0.25</v>
      </c>
      <c r="Q6" s="18">
        <f t="shared" si="11"/>
        <v>0.2</v>
      </c>
      <c r="R6" s="18">
        <f t="shared" si="12"/>
        <v>0.14000000000000001</v>
      </c>
      <c r="S6" s="18">
        <f t="shared" si="13"/>
        <v>0.1</v>
      </c>
    </row>
    <row r="7" spans="1:19" ht="15" thickBot="1">
      <c r="A7" s="6" t="s">
        <v>51</v>
      </c>
      <c r="B7" s="6" t="s">
        <v>55</v>
      </c>
      <c r="C7" s="7" t="s">
        <v>142</v>
      </c>
      <c r="D7" s="10">
        <v>250</v>
      </c>
      <c r="E7" s="18">
        <v>0.18</v>
      </c>
      <c r="F7" s="18">
        <f t="shared" si="0"/>
        <v>0.27900000000000003</v>
      </c>
      <c r="G7" s="6" t="str">
        <f t="shared" si="1"/>
        <v>Sedang</v>
      </c>
      <c r="H7" s="18">
        <f t="shared" si="2"/>
        <v>8.1000000000000003E-2</v>
      </c>
      <c r="I7" s="18">
        <f t="shared" si="3"/>
        <v>7.1999999999999995E-2</v>
      </c>
      <c r="J7" s="18">
        <f t="shared" si="4"/>
        <v>0.09</v>
      </c>
      <c r="K7" s="18">
        <f t="shared" si="5"/>
        <v>0.126</v>
      </c>
      <c r="L7" s="18">
        <f t="shared" si="6"/>
        <v>0.16200000000000001</v>
      </c>
      <c r="M7" s="18">
        <f t="shared" si="7"/>
        <v>0.19800000000000001</v>
      </c>
      <c r="N7" s="18">
        <f t="shared" si="8"/>
        <v>0.22500000000000001</v>
      </c>
      <c r="O7" s="18">
        <f t="shared" si="9"/>
        <v>0.24299999999999999</v>
      </c>
      <c r="P7" s="18">
        <f t="shared" si="10"/>
        <v>0.22500000000000001</v>
      </c>
      <c r="Q7" s="18">
        <f t="shared" si="11"/>
        <v>0.18</v>
      </c>
      <c r="R7" s="18">
        <f t="shared" si="12"/>
        <v>0.126</v>
      </c>
      <c r="S7" s="18">
        <f t="shared" si="13"/>
        <v>0.09</v>
      </c>
    </row>
    <row r="8" spans="1:19" ht="15" thickBot="1">
      <c r="A8" s="6" t="s">
        <v>51</v>
      </c>
      <c r="B8" s="6" t="s">
        <v>57</v>
      </c>
      <c r="C8" s="7" t="s">
        <v>143</v>
      </c>
      <c r="D8" s="10">
        <v>1600</v>
      </c>
      <c r="E8" s="18">
        <v>0.28000000000000003</v>
      </c>
      <c r="F8" s="18">
        <f t="shared" si="0"/>
        <v>0.434</v>
      </c>
      <c r="G8" s="6" t="str">
        <f t="shared" si="1"/>
        <v>Tinggi</v>
      </c>
      <c r="H8" s="18">
        <f t="shared" si="2"/>
        <v>0.126</v>
      </c>
      <c r="I8" s="18">
        <f t="shared" si="3"/>
        <v>0.112</v>
      </c>
      <c r="J8" s="18">
        <f t="shared" si="4"/>
        <v>0.14000000000000001</v>
      </c>
      <c r="K8" s="18">
        <f t="shared" si="5"/>
        <v>0.19600000000000001</v>
      </c>
      <c r="L8" s="18">
        <f t="shared" si="6"/>
        <v>0.252</v>
      </c>
      <c r="M8" s="18">
        <f t="shared" si="7"/>
        <v>0.308</v>
      </c>
      <c r="N8" s="18">
        <f t="shared" si="8"/>
        <v>0.35</v>
      </c>
      <c r="O8" s="18">
        <f t="shared" si="9"/>
        <v>0.378</v>
      </c>
      <c r="P8" s="18">
        <f t="shared" si="10"/>
        <v>0.35</v>
      </c>
      <c r="Q8" s="18">
        <f t="shared" si="11"/>
        <v>0.28000000000000003</v>
      </c>
      <c r="R8" s="18">
        <f t="shared" si="12"/>
        <v>0.19600000000000001</v>
      </c>
      <c r="S8" s="18">
        <f t="shared" si="13"/>
        <v>0.14000000000000001</v>
      </c>
    </row>
    <row r="9" spans="1:19" ht="15" thickBot="1">
      <c r="A9" s="6" t="s">
        <v>59</v>
      </c>
      <c r="B9" s="6" t="s">
        <v>59</v>
      </c>
      <c r="C9" s="7" t="s">
        <v>144</v>
      </c>
      <c r="D9" s="10">
        <v>200</v>
      </c>
      <c r="E9" s="18">
        <v>0.17</v>
      </c>
      <c r="F9" s="18">
        <f t="shared" si="0"/>
        <v>0.26400000000000001</v>
      </c>
      <c r="G9" s="6" t="str">
        <f t="shared" si="1"/>
        <v>Sedang</v>
      </c>
      <c r="H9" s="18">
        <f t="shared" si="2"/>
        <v>7.6999999999999999E-2</v>
      </c>
      <c r="I9" s="18">
        <f t="shared" si="3"/>
        <v>6.8000000000000005E-2</v>
      </c>
      <c r="J9" s="18">
        <f t="shared" si="4"/>
        <v>8.5000000000000006E-2</v>
      </c>
      <c r="K9" s="18">
        <f t="shared" si="5"/>
        <v>0.11899999999999999</v>
      </c>
      <c r="L9" s="18">
        <f t="shared" si="6"/>
        <v>0.153</v>
      </c>
      <c r="M9" s="18">
        <f t="shared" si="7"/>
        <v>0.187</v>
      </c>
      <c r="N9" s="18">
        <f t="shared" si="8"/>
        <v>0.21299999999999999</v>
      </c>
      <c r="O9" s="18">
        <f t="shared" si="9"/>
        <v>0.23</v>
      </c>
      <c r="P9" s="18">
        <f t="shared" si="10"/>
        <v>0.21299999999999999</v>
      </c>
      <c r="Q9" s="18">
        <f t="shared" si="11"/>
        <v>0.17</v>
      </c>
      <c r="R9" s="18">
        <f t="shared" si="12"/>
        <v>0.11899999999999999</v>
      </c>
      <c r="S9" s="18">
        <f t="shared" si="13"/>
        <v>8.5000000000000006E-2</v>
      </c>
    </row>
    <row r="10" spans="1:19" ht="15" thickBot="1">
      <c r="A10" s="6" t="s">
        <v>59</v>
      </c>
      <c r="B10" s="6" t="s">
        <v>61</v>
      </c>
      <c r="C10" s="7" t="s">
        <v>145</v>
      </c>
      <c r="D10" s="10">
        <v>25</v>
      </c>
      <c r="E10" s="18">
        <v>0.12</v>
      </c>
      <c r="F10" s="18">
        <f t="shared" si="0"/>
        <v>0.186</v>
      </c>
      <c r="G10" s="6" t="str">
        <f t="shared" si="1"/>
        <v>Rendah</v>
      </c>
      <c r="H10" s="18">
        <f t="shared" si="2"/>
        <v>5.3999999999999999E-2</v>
      </c>
      <c r="I10" s="18">
        <f t="shared" si="3"/>
        <v>4.8000000000000001E-2</v>
      </c>
      <c r="J10" s="18">
        <f t="shared" si="4"/>
        <v>0.06</v>
      </c>
      <c r="K10" s="18">
        <f t="shared" si="5"/>
        <v>8.4000000000000005E-2</v>
      </c>
      <c r="L10" s="18">
        <f t="shared" si="6"/>
        <v>0.108</v>
      </c>
      <c r="M10" s="18">
        <f t="shared" si="7"/>
        <v>0.13200000000000001</v>
      </c>
      <c r="N10" s="18">
        <f t="shared" si="8"/>
        <v>0.15</v>
      </c>
      <c r="O10" s="18">
        <f t="shared" si="9"/>
        <v>0.16200000000000001</v>
      </c>
      <c r="P10" s="18">
        <f t="shared" si="10"/>
        <v>0.15</v>
      </c>
      <c r="Q10" s="18">
        <f t="shared" si="11"/>
        <v>0.12</v>
      </c>
      <c r="R10" s="18">
        <f t="shared" si="12"/>
        <v>8.4000000000000005E-2</v>
      </c>
      <c r="S10" s="18">
        <f t="shared" si="13"/>
        <v>0.06</v>
      </c>
    </row>
    <row r="11" spans="1:19" ht="15" thickBot="1">
      <c r="A11" s="6" t="s">
        <v>59</v>
      </c>
      <c r="B11" s="6" t="s">
        <v>63</v>
      </c>
      <c r="C11" s="7" t="s">
        <v>146</v>
      </c>
      <c r="D11" s="10">
        <v>6500</v>
      </c>
      <c r="E11" s="18">
        <v>0.36</v>
      </c>
      <c r="F11" s="18">
        <f t="shared" si="0"/>
        <v>0.55800000000000005</v>
      </c>
      <c r="G11" s="6" t="str">
        <f t="shared" si="1"/>
        <v>Tinggi</v>
      </c>
      <c r="H11" s="18">
        <f t="shared" si="2"/>
        <v>0.16200000000000001</v>
      </c>
      <c r="I11" s="18">
        <f t="shared" si="3"/>
        <v>0.14399999999999999</v>
      </c>
      <c r="J11" s="18">
        <f t="shared" si="4"/>
        <v>0.18</v>
      </c>
      <c r="K11" s="18">
        <f t="shared" si="5"/>
        <v>0.252</v>
      </c>
      <c r="L11" s="18">
        <f t="shared" si="6"/>
        <v>0.32400000000000001</v>
      </c>
      <c r="M11" s="18">
        <f t="shared" si="7"/>
        <v>0.39600000000000002</v>
      </c>
      <c r="N11" s="18">
        <f t="shared" si="8"/>
        <v>0.45</v>
      </c>
      <c r="O11" s="18">
        <f t="shared" si="9"/>
        <v>0.48599999999999999</v>
      </c>
      <c r="P11" s="18">
        <f t="shared" si="10"/>
        <v>0.45</v>
      </c>
      <c r="Q11" s="18">
        <f t="shared" si="11"/>
        <v>0.36</v>
      </c>
      <c r="R11" s="18">
        <f t="shared" si="12"/>
        <v>0.252</v>
      </c>
      <c r="S11" s="18">
        <f t="shared" si="13"/>
        <v>0.18</v>
      </c>
    </row>
    <row r="12" spans="1:19" ht="15" thickBot="1">
      <c r="A12" s="6" t="s">
        <v>59</v>
      </c>
      <c r="B12" s="6" t="s">
        <v>66</v>
      </c>
      <c r="C12" s="7" t="s">
        <v>147</v>
      </c>
      <c r="D12" s="10">
        <v>300</v>
      </c>
      <c r="E12" s="18">
        <v>0.18</v>
      </c>
      <c r="F12" s="18">
        <f t="shared" si="0"/>
        <v>0.27900000000000003</v>
      </c>
      <c r="G12" s="6" t="str">
        <f t="shared" si="1"/>
        <v>Sedang</v>
      </c>
      <c r="H12" s="18">
        <f t="shared" si="2"/>
        <v>8.1000000000000003E-2</v>
      </c>
      <c r="I12" s="18">
        <f t="shared" si="3"/>
        <v>7.1999999999999995E-2</v>
      </c>
      <c r="J12" s="18">
        <f t="shared" si="4"/>
        <v>0.09</v>
      </c>
      <c r="K12" s="18">
        <f t="shared" si="5"/>
        <v>0.126</v>
      </c>
      <c r="L12" s="18">
        <f t="shared" si="6"/>
        <v>0.16200000000000001</v>
      </c>
      <c r="M12" s="18">
        <f t="shared" si="7"/>
        <v>0.19800000000000001</v>
      </c>
      <c r="N12" s="18">
        <f t="shared" si="8"/>
        <v>0.22500000000000001</v>
      </c>
      <c r="O12" s="18">
        <f t="shared" si="9"/>
        <v>0.24299999999999999</v>
      </c>
      <c r="P12" s="18">
        <f t="shared" si="10"/>
        <v>0.22500000000000001</v>
      </c>
      <c r="Q12" s="18">
        <f t="shared" si="11"/>
        <v>0.18</v>
      </c>
      <c r="R12" s="18">
        <f t="shared" si="12"/>
        <v>0.126</v>
      </c>
      <c r="S12" s="18">
        <f t="shared" si="13"/>
        <v>0.09</v>
      </c>
    </row>
    <row r="13" spans="1:19" ht="15" thickBot="1">
      <c r="A13" s="6" t="s">
        <v>59</v>
      </c>
      <c r="B13" s="6" t="s">
        <v>68</v>
      </c>
      <c r="C13" s="7" t="s">
        <v>148</v>
      </c>
      <c r="D13" s="10">
        <v>2200</v>
      </c>
      <c r="E13" s="18">
        <v>0.3</v>
      </c>
      <c r="F13" s="18">
        <f t="shared" si="0"/>
        <v>0.46500000000000002</v>
      </c>
      <c r="G13" s="6" t="str">
        <f t="shared" si="1"/>
        <v>Tinggi</v>
      </c>
      <c r="H13" s="18">
        <f t="shared" si="2"/>
        <v>0.13500000000000001</v>
      </c>
      <c r="I13" s="18">
        <f t="shared" si="3"/>
        <v>0.12</v>
      </c>
      <c r="J13" s="18">
        <f t="shared" si="4"/>
        <v>0.15</v>
      </c>
      <c r="K13" s="18">
        <f t="shared" si="5"/>
        <v>0.21</v>
      </c>
      <c r="L13" s="18">
        <f t="shared" si="6"/>
        <v>0.27</v>
      </c>
      <c r="M13" s="18">
        <f t="shared" si="7"/>
        <v>0.33</v>
      </c>
      <c r="N13" s="18">
        <f t="shared" si="8"/>
        <v>0.375</v>
      </c>
      <c r="O13" s="18">
        <f t="shared" si="9"/>
        <v>0.40500000000000003</v>
      </c>
      <c r="P13" s="18">
        <f t="shared" si="10"/>
        <v>0.375</v>
      </c>
      <c r="Q13" s="18">
        <f t="shared" si="11"/>
        <v>0.3</v>
      </c>
      <c r="R13" s="18">
        <f t="shared" si="12"/>
        <v>0.21</v>
      </c>
      <c r="S13" s="18">
        <f t="shared" si="13"/>
        <v>0.15</v>
      </c>
    </row>
    <row r="14" spans="1:19" ht="15" thickBot="1">
      <c r="A14" s="6" t="s">
        <v>70</v>
      </c>
      <c r="B14" s="6" t="s">
        <v>71</v>
      </c>
      <c r="C14" s="7" t="s">
        <v>149</v>
      </c>
      <c r="D14" s="10">
        <v>450</v>
      </c>
      <c r="E14" s="18">
        <v>0.21</v>
      </c>
      <c r="F14" s="18">
        <f t="shared" si="0"/>
        <v>0.32600000000000001</v>
      </c>
      <c r="G14" s="6" t="str">
        <f t="shared" si="1"/>
        <v>Sedang</v>
      </c>
      <c r="H14" s="18">
        <f t="shared" si="2"/>
        <v>9.5000000000000001E-2</v>
      </c>
      <c r="I14" s="18">
        <f t="shared" si="3"/>
        <v>8.4000000000000005E-2</v>
      </c>
      <c r="J14" s="18">
        <f t="shared" si="4"/>
        <v>0.105</v>
      </c>
      <c r="K14" s="18">
        <f t="shared" si="5"/>
        <v>0.14699999999999999</v>
      </c>
      <c r="L14" s="18">
        <f t="shared" si="6"/>
        <v>0.189</v>
      </c>
      <c r="M14" s="18">
        <f t="shared" si="7"/>
        <v>0.23100000000000001</v>
      </c>
      <c r="N14" s="18">
        <f t="shared" si="8"/>
        <v>0.26300000000000001</v>
      </c>
      <c r="O14" s="18">
        <f t="shared" si="9"/>
        <v>0.28399999999999997</v>
      </c>
      <c r="P14" s="18">
        <f t="shared" si="10"/>
        <v>0.26300000000000001</v>
      </c>
      <c r="Q14" s="18">
        <f t="shared" si="11"/>
        <v>0.21</v>
      </c>
      <c r="R14" s="18">
        <f t="shared" si="12"/>
        <v>0.14699999999999999</v>
      </c>
      <c r="S14" s="18">
        <f t="shared" si="13"/>
        <v>0.105</v>
      </c>
    </row>
    <row r="15" spans="1:19" ht="15" thickBot="1">
      <c r="A15" s="6" t="s">
        <v>70</v>
      </c>
      <c r="B15" s="6" t="s">
        <v>73</v>
      </c>
      <c r="C15" s="7" t="s">
        <v>150</v>
      </c>
      <c r="D15" s="10">
        <v>250</v>
      </c>
      <c r="E15" s="18">
        <v>0.17</v>
      </c>
      <c r="F15" s="18">
        <f t="shared" si="0"/>
        <v>0.26400000000000001</v>
      </c>
      <c r="G15" s="6" t="str">
        <f t="shared" si="1"/>
        <v>Sedang</v>
      </c>
      <c r="H15" s="18">
        <f t="shared" si="2"/>
        <v>7.6999999999999999E-2</v>
      </c>
      <c r="I15" s="18">
        <f t="shared" si="3"/>
        <v>6.8000000000000005E-2</v>
      </c>
      <c r="J15" s="18">
        <f t="shared" si="4"/>
        <v>8.5000000000000006E-2</v>
      </c>
      <c r="K15" s="18">
        <f t="shared" si="5"/>
        <v>0.11899999999999999</v>
      </c>
      <c r="L15" s="18">
        <f t="shared" si="6"/>
        <v>0.153</v>
      </c>
      <c r="M15" s="18">
        <f t="shared" si="7"/>
        <v>0.187</v>
      </c>
      <c r="N15" s="18">
        <f t="shared" si="8"/>
        <v>0.21299999999999999</v>
      </c>
      <c r="O15" s="18">
        <f t="shared" si="9"/>
        <v>0.23</v>
      </c>
      <c r="P15" s="18">
        <f t="shared" si="10"/>
        <v>0.21299999999999999</v>
      </c>
      <c r="Q15" s="18">
        <f t="shared" si="11"/>
        <v>0.17</v>
      </c>
      <c r="R15" s="18">
        <f t="shared" si="12"/>
        <v>0.11899999999999999</v>
      </c>
      <c r="S15" s="18">
        <f t="shared" si="13"/>
        <v>8.5000000000000006E-2</v>
      </c>
    </row>
    <row r="16" spans="1:19" ht="15" thickBot="1">
      <c r="A16" s="6" t="s">
        <v>70</v>
      </c>
      <c r="B16" s="6" t="s">
        <v>75</v>
      </c>
      <c r="C16" s="7" t="s">
        <v>151</v>
      </c>
      <c r="D16" s="10">
        <v>300</v>
      </c>
      <c r="E16" s="18">
        <v>0.18</v>
      </c>
      <c r="F16" s="18">
        <f t="shared" si="0"/>
        <v>0.27900000000000003</v>
      </c>
      <c r="G16" s="6" t="str">
        <f t="shared" si="1"/>
        <v>Sedang</v>
      </c>
      <c r="H16" s="18">
        <f t="shared" si="2"/>
        <v>8.1000000000000003E-2</v>
      </c>
      <c r="I16" s="18">
        <f t="shared" si="3"/>
        <v>7.1999999999999995E-2</v>
      </c>
      <c r="J16" s="18">
        <f t="shared" si="4"/>
        <v>0.09</v>
      </c>
      <c r="K16" s="18">
        <f t="shared" si="5"/>
        <v>0.126</v>
      </c>
      <c r="L16" s="18">
        <f t="shared" si="6"/>
        <v>0.16200000000000001</v>
      </c>
      <c r="M16" s="18">
        <f t="shared" si="7"/>
        <v>0.19800000000000001</v>
      </c>
      <c r="N16" s="18">
        <f t="shared" si="8"/>
        <v>0.22500000000000001</v>
      </c>
      <c r="O16" s="18">
        <f t="shared" si="9"/>
        <v>0.24299999999999999</v>
      </c>
      <c r="P16" s="18">
        <f t="shared" si="10"/>
        <v>0.22500000000000001</v>
      </c>
      <c r="Q16" s="18">
        <f t="shared" si="11"/>
        <v>0.18</v>
      </c>
      <c r="R16" s="18">
        <f t="shared" si="12"/>
        <v>0.126</v>
      </c>
      <c r="S16" s="18">
        <f t="shared" si="13"/>
        <v>0.09</v>
      </c>
    </row>
    <row r="17" spans="1:19" ht="15" thickBot="1">
      <c r="A17" s="6" t="s">
        <v>70</v>
      </c>
      <c r="B17" s="6" t="s">
        <v>77</v>
      </c>
      <c r="C17" s="7" t="s">
        <v>152</v>
      </c>
      <c r="D17" s="10">
        <v>450</v>
      </c>
      <c r="E17" s="18">
        <v>0.21</v>
      </c>
      <c r="F17" s="18">
        <f t="shared" si="0"/>
        <v>0.32600000000000001</v>
      </c>
      <c r="G17" s="6" t="str">
        <f t="shared" si="1"/>
        <v>Sedang</v>
      </c>
      <c r="H17" s="18">
        <f t="shared" si="2"/>
        <v>9.5000000000000001E-2</v>
      </c>
      <c r="I17" s="18">
        <f t="shared" si="3"/>
        <v>8.4000000000000005E-2</v>
      </c>
      <c r="J17" s="18">
        <f t="shared" si="4"/>
        <v>0.105</v>
      </c>
      <c r="K17" s="18">
        <f t="shared" si="5"/>
        <v>0.14699999999999999</v>
      </c>
      <c r="L17" s="18">
        <f t="shared" si="6"/>
        <v>0.189</v>
      </c>
      <c r="M17" s="18">
        <f t="shared" si="7"/>
        <v>0.23100000000000001</v>
      </c>
      <c r="N17" s="18">
        <f t="shared" si="8"/>
        <v>0.26300000000000001</v>
      </c>
      <c r="O17" s="18">
        <f t="shared" si="9"/>
        <v>0.28399999999999997</v>
      </c>
      <c r="P17" s="18">
        <f t="shared" si="10"/>
        <v>0.26300000000000001</v>
      </c>
      <c r="Q17" s="18">
        <f t="shared" si="11"/>
        <v>0.21</v>
      </c>
      <c r="R17" s="18">
        <f t="shared" si="12"/>
        <v>0.14699999999999999</v>
      </c>
      <c r="S17" s="18">
        <f t="shared" si="13"/>
        <v>0.105</v>
      </c>
    </row>
    <row r="18" spans="1:19" ht="15" thickBot="1">
      <c r="A18" s="6" t="s">
        <v>70</v>
      </c>
      <c r="B18" s="6" t="s">
        <v>79</v>
      </c>
      <c r="C18" s="7" t="s">
        <v>153</v>
      </c>
      <c r="D18" s="10">
        <v>900</v>
      </c>
      <c r="E18" s="18">
        <v>0.24</v>
      </c>
      <c r="F18" s="18">
        <f t="shared" si="0"/>
        <v>0.372</v>
      </c>
      <c r="G18" s="6" t="str">
        <f t="shared" si="1"/>
        <v>Tinggi</v>
      </c>
      <c r="H18" s="18">
        <f t="shared" si="2"/>
        <v>0.108</v>
      </c>
      <c r="I18" s="18">
        <f t="shared" si="3"/>
        <v>9.6000000000000002E-2</v>
      </c>
      <c r="J18" s="18">
        <f t="shared" si="4"/>
        <v>0.12</v>
      </c>
      <c r="K18" s="18">
        <f t="shared" si="5"/>
        <v>0.16800000000000001</v>
      </c>
      <c r="L18" s="18">
        <f t="shared" si="6"/>
        <v>0.216</v>
      </c>
      <c r="M18" s="18">
        <f t="shared" si="7"/>
        <v>0.26400000000000001</v>
      </c>
      <c r="N18" s="18">
        <f t="shared" si="8"/>
        <v>0.3</v>
      </c>
      <c r="O18" s="18">
        <f t="shared" si="9"/>
        <v>0.32400000000000001</v>
      </c>
      <c r="P18" s="18">
        <f t="shared" si="10"/>
        <v>0.3</v>
      </c>
      <c r="Q18" s="18">
        <f t="shared" si="11"/>
        <v>0.24</v>
      </c>
      <c r="R18" s="18">
        <f t="shared" si="12"/>
        <v>0.16800000000000001</v>
      </c>
      <c r="S18" s="18">
        <f t="shared" si="13"/>
        <v>0.12</v>
      </c>
    </row>
    <row r="19" spans="1:19" ht="28.5" thickBot="1">
      <c r="A19" s="6" t="s">
        <v>70</v>
      </c>
      <c r="B19" s="6" t="s">
        <v>81</v>
      </c>
      <c r="C19" s="7" t="s">
        <v>154</v>
      </c>
      <c r="D19" s="10">
        <v>200</v>
      </c>
      <c r="E19" s="18">
        <v>0.16</v>
      </c>
      <c r="F19" s="18">
        <f t="shared" si="0"/>
        <v>0.248</v>
      </c>
      <c r="G19" s="6" t="str">
        <f t="shared" si="1"/>
        <v>Sedang</v>
      </c>
      <c r="H19" s="18">
        <f t="shared" si="2"/>
        <v>7.1999999999999995E-2</v>
      </c>
      <c r="I19" s="18">
        <f t="shared" si="3"/>
        <v>6.4000000000000001E-2</v>
      </c>
      <c r="J19" s="18">
        <f t="shared" si="4"/>
        <v>0.08</v>
      </c>
      <c r="K19" s="18">
        <f t="shared" si="5"/>
        <v>0.112</v>
      </c>
      <c r="L19" s="18">
        <f t="shared" si="6"/>
        <v>0.14399999999999999</v>
      </c>
      <c r="M19" s="18">
        <f t="shared" si="7"/>
        <v>0.17599999999999999</v>
      </c>
      <c r="N19" s="18">
        <f t="shared" si="8"/>
        <v>0.2</v>
      </c>
      <c r="O19" s="18">
        <f t="shared" si="9"/>
        <v>0.216</v>
      </c>
      <c r="P19" s="18">
        <f t="shared" si="10"/>
        <v>0.2</v>
      </c>
      <c r="Q19" s="18">
        <f t="shared" si="11"/>
        <v>0.16</v>
      </c>
      <c r="R19" s="18">
        <f t="shared" si="12"/>
        <v>0.112</v>
      </c>
      <c r="S19" s="18">
        <f t="shared" si="13"/>
        <v>0.08</v>
      </c>
    </row>
    <row r="20" spans="1:19" ht="15" thickBot="1">
      <c r="A20" s="6" t="s">
        <v>83</v>
      </c>
      <c r="B20" s="6" t="s">
        <v>84</v>
      </c>
      <c r="C20" s="7" t="s">
        <v>155</v>
      </c>
      <c r="D20" s="10">
        <v>300</v>
      </c>
      <c r="E20" s="18">
        <v>0.18</v>
      </c>
      <c r="F20" s="18">
        <f t="shared" si="0"/>
        <v>0.27900000000000003</v>
      </c>
      <c r="G20" s="6" t="str">
        <f t="shared" si="1"/>
        <v>Sedang</v>
      </c>
      <c r="H20" s="18">
        <f t="shared" si="2"/>
        <v>8.1000000000000003E-2</v>
      </c>
      <c r="I20" s="18">
        <f t="shared" si="3"/>
        <v>7.1999999999999995E-2</v>
      </c>
      <c r="J20" s="18">
        <f t="shared" si="4"/>
        <v>0.09</v>
      </c>
      <c r="K20" s="18">
        <f t="shared" si="5"/>
        <v>0.126</v>
      </c>
      <c r="L20" s="18">
        <f t="shared" si="6"/>
        <v>0.16200000000000001</v>
      </c>
      <c r="M20" s="18">
        <f t="shared" si="7"/>
        <v>0.19800000000000001</v>
      </c>
      <c r="N20" s="18">
        <f t="shared" si="8"/>
        <v>0.22500000000000001</v>
      </c>
      <c r="O20" s="18">
        <f t="shared" si="9"/>
        <v>0.24299999999999999</v>
      </c>
      <c r="P20" s="18">
        <f t="shared" si="10"/>
        <v>0.22500000000000001</v>
      </c>
      <c r="Q20" s="18">
        <f t="shared" si="11"/>
        <v>0.18</v>
      </c>
      <c r="R20" s="18">
        <f t="shared" si="12"/>
        <v>0.126</v>
      </c>
      <c r="S20" s="18">
        <f t="shared" si="13"/>
        <v>0.09</v>
      </c>
    </row>
    <row r="21" spans="1:19" ht="15" thickBot="1">
      <c r="A21" s="6" t="s">
        <v>83</v>
      </c>
      <c r="B21" s="6" t="s">
        <v>86</v>
      </c>
      <c r="C21" s="7" t="s">
        <v>156</v>
      </c>
      <c r="D21" s="10">
        <v>700</v>
      </c>
      <c r="E21" s="18">
        <v>0.27</v>
      </c>
      <c r="F21" s="18">
        <f t="shared" si="0"/>
        <v>0.41899999999999998</v>
      </c>
      <c r="G21" s="6" t="str">
        <f t="shared" si="1"/>
        <v>Tinggi</v>
      </c>
      <c r="H21" s="18">
        <f t="shared" si="2"/>
        <v>0.122</v>
      </c>
      <c r="I21" s="18">
        <f t="shared" si="3"/>
        <v>0.108</v>
      </c>
      <c r="J21" s="18">
        <f t="shared" si="4"/>
        <v>0.13500000000000001</v>
      </c>
      <c r="K21" s="18">
        <f t="shared" si="5"/>
        <v>0.189</v>
      </c>
      <c r="L21" s="18">
        <f t="shared" si="6"/>
        <v>0.24299999999999999</v>
      </c>
      <c r="M21" s="18">
        <f t="shared" si="7"/>
        <v>0.29699999999999999</v>
      </c>
      <c r="N21" s="18">
        <f t="shared" si="8"/>
        <v>0.33800000000000002</v>
      </c>
      <c r="O21" s="18">
        <f t="shared" si="9"/>
        <v>0.36499999999999999</v>
      </c>
      <c r="P21" s="18">
        <f t="shared" si="10"/>
        <v>0.33800000000000002</v>
      </c>
      <c r="Q21" s="18">
        <f t="shared" si="11"/>
        <v>0.27</v>
      </c>
      <c r="R21" s="18">
        <f t="shared" si="12"/>
        <v>0.189</v>
      </c>
      <c r="S21" s="18">
        <f t="shared" si="13"/>
        <v>0.13500000000000001</v>
      </c>
    </row>
    <row r="22" spans="1:19" ht="15" thickBot="1">
      <c r="A22" s="6" t="s">
        <v>83</v>
      </c>
      <c r="B22" s="6" t="s">
        <v>88</v>
      </c>
      <c r="C22" s="7" t="s">
        <v>157</v>
      </c>
      <c r="D22" s="10">
        <v>200</v>
      </c>
      <c r="E22" s="18">
        <v>0.16</v>
      </c>
      <c r="F22" s="18">
        <f t="shared" si="0"/>
        <v>0.248</v>
      </c>
      <c r="G22" s="6" t="str">
        <f t="shared" si="1"/>
        <v>Sedang</v>
      </c>
      <c r="H22" s="18">
        <f t="shared" si="2"/>
        <v>7.1999999999999995E-2</v>
      </c>
      <c r="I22" s="18">
        <f t="shared" si="3"/>
        <v>6.4000000000000001E-2</v>
      </c>
      <c r="J22" s="18">
        <f t="shared" si="4"/>
        <v>0.08</v>
      </c>
      <c r="K22" s="18">
        <f t="shared" si="5"/>
        <v>0.112</v>
      </c>
      <c r="L22" s="18">
        <f t="shared" si="6"/>
        <v>0.14399999999999999</v>
      </c>
      <c r="M22" s="18">
        <f t="shared" si="7"/>
        <v>0.17599999999999999</v>
      </c>
      <c r="N22" s="18">
        <f t="shared" si="8"/>
        <v>0.2</v>
      </c>
      <c r="O22" s="18">
        <f t="shared" si="9"/>
        <v>0.216</v>
      </c>
      <c r="P22" s="18">
        <f t="shared" si="10"/>
        <v>0.2</v>
      </c>
      <c r="Q22" s="18">
        <f t="shared" si="11"/>
        <v>0.16</v>
      </c>
      <c r="R22" s="18">
        <f t="shared" si="12"/>
        <v>0.112</v>
      </c>
      <c r="S22" s="18">
        <f t="shared" si="13"/>
        <v>0.08</v>
      </c>
    </row>
    <row r="23" spans="1:19" ht="15" thickBot="1">
      <c r="A23" s="6" t="s">
        <v>83</v>
      </c>
      <c r="B23" s="6" t="s">
        <v>90</v>
      </c>
      <c r="C23" s="7" t="s">
        <v>158</v>
      </c>
      <c r="D23" s="10">
        <v>400</v>
      </c>
      <c r="E23" s="18">
        <v>0.22</v>
      </c>
      <c r="F23" s="18">
        <f t="shared" si="0"/>
        <v>0.34100000000000003</v>
      </c>
      <c r="G23" s="6" t="str">
        <f t="shared" si="1"/>
        <v>Sedang</v>
      </c>
      <c r="H23" s="18">
        <f t="shared" si="2"/>
        <v>9.9000000000000005E-2</v>
      </c>
      <c r="I23" s="18">
        <f t="shared" si="3"/>
        <v>8.7999999999999995E-2</v>
      </c>
      <c r="J23" s="18">
        <f t="shared" si="4"/>
        <v>0.11</v>
      </c>
      <c r="K23" s="18">
        <f t="shared" si="5"/>
        <v>0.154</v>
      </c>
      <c r="L23" s="18">
        <f t="shared" si="6"/>
        <v>0.19800000000000001</v>
      </c>
      <c r="M23" s="18">
        <f t="shared" si="7"/>
        <v>0.24199999999999999</v>
      </c>
      <c r="N23" s="18">
        <f t="shared" si="8"/>
        <v>0.27500000000000002</v>
      </c>
      <c r="O23" s="18">
        <f t="shared" si="9"/>
        <v>0.29699999999999999</v>
      </c>
      <c r="P23" s="18">
        <f t="shared" si="10"/>
        <v>0.27500000000000002</v>
      </c>
      <c r="Q23" s="18">
        <f t="shared" si="11"/>
        <v>0.22</v>
      </c>
      <c r="R23" s="18">
        <f t="shared" si="12"/>
        <v>0.154</v>
      </c>
      <c r="S23" s="18">
        <f t="shared" si="13"/>
        <v>0.11</v>
      </c>
    </row>
    <row r="24" spans="1:19" ht="15" thickBot="1">
      <c r="A24" s="6" t="s">
        <v>83</v>
      </c>
      <c r="B24" s="6" t="s">
        <v>92</v>
      </c>
      <c r="C24" s="7" t="s">
        <v>159</v>
      </c>
      <c r="D24" s="10">
        <v>300</v>
      </c>
      <c r="E24" s="18">
        <v>0.18</v>
      </c>
      <c r="F24" s="18">
        <f t="shared" si="0"/>
        <v>0.27900000000000003</v>
      </c>
      <c r="G24" s="6" t="str">
        <f t="shared" si="1"/>
        <v>Sedang</v>
      </c>
      <c r="H24" s="18">
        <f t="shared" si="2"/>
        <v>8.1000000000000003E-2</v>
      </c>
      <c r="I24" s="18">
        <f t="shared" si="3"/>
        <v>7.1999999999999995E-2</v>
      </c>
      <c r="J24" s="18">
        <f t="shared" si="4"/>
        <v>0.09</v>
      </c>
      <c r="K24" s="18">
        <f t="shared" si="5"/>
        <v>0.126</v>
      </c>
      <c r="L24" s="18">
        <f t="shared" si="6"/>
        <v>0.16200000000000001</v>
      </c>
      <c r="M24" s="18">
        <f t="shared" si="7"/>
        <v>0.19800000000000001</v>
      </c>
      <c r="N24" s="18">
        <f t="shared" si="8"/>
        <v>0.22500000000000001</v>
      </c>
      <c r="O24" s="18">
        <f t="shared" si="9"/>
        <v>0.24299999999999999</v>
      </c>
      <c r="P24" s="18">
        <f t="shared" si="10"/>
        <v>0.22500000000000001</v>
      </c>
      <c r="Q24" s="18">
        <f t="shared" si="11"/>
        <v>0.18</v>
      </c>
      <c r="R24" s="18">
        <f t="shared" si="12"/>
        <v>0.126</v>
      </c>
      <c r="S24" s="18">
        <f t="shared" si="13"/>
        <v>0.09</v>
      </c>
    </row>
    <row r="25" spans="1:19" ht="15" thickBot="1">
      <c r="A25" s="6" t="s">
        <v>83</v>
      </c>
      <c r="B25" s="6" t="s">
        <v>83</v>
      </c>
      <c r="C25" s="7" t="s">
        <v>160</v>
      </c>
      <c r="D25" s="10">
        <v>500</v>
      </c>
      <c r="E25" s="18">
        <v>0.22</v>
      </c>
      <c r="F25" s="18">
        <f t="shared" si="0"/>
        <v>0.34100000000000003</v>
      </c>
      <c r="G25" s="6" t="str">
        <f t="shared" si="1"/>
        <v>Sedang</v>
      </c>
      <c r="H25" s="18">
        <f t="shared" si="2"/>
        <v>9.9000000000000005E-2</v>
      </c>
      <c r="I25" s="18">
        <f t="shared" si="3"/>
        <v>8.7999999999999995E-2</v>
      </c>
      <c r="J25" s="18">
        <f t="shared" si="4"/>
        <v>0.11</v>
      </c>
      <c r="K25" s="18">
        <f t="shared" si="5"/>
        <v>0.154</v>
      </c>
      <c r="L25" s="18">
        <f t="shared" si="6"/>
        <v>0.19800000000000001</v>
      </c>
      <c r="M25" s="18">
        <f t="shared" si="7"/>
        <v>0.24199999999999999</v>
      </c>
      <c r="N25" s="18">
        <f t="shared" si="8"/>
        <v>0.27500000000000002</v>
      </c>
      <c r="O25" s="18">
        <f t="shared" si="9"/>
        <v>0.29699999999999999</v>
      </c>
      <c r="P25" s="18">
        <f t="shared" si="10"/>
        <v>0.27500000000000002</v>
      </c>
      <c r="Q25" s="18">
        <f t="shared" si="11"/>
        <v>0.22</v>
      </c>
      <c r="R25" s="18">
        <f t="shared" si="12"/>
        <v>0.154</v>
      </c>
      <c r="S25" s="18">
        <f t="shared" si="13"/>
        <v>0.11</v>
      </c>
    </row>
    <row r="26" spans="1:19" ht="15" thickBot="1">
      <c r="A26" s="6" t="s">
        <v>83</v>
      </c>
      <c r="B26" s="6" t="s">
        <v>95</v>
      </c>
      <c r="C26" s="7" t="s">
        <v>161</v>
      </c>
      <c r="D26" s="10">
        <v>350</v>
      </c>
      <c r="E26" s="18">
        <v>0.19</v>
      </c>
      <c r="F26" s="18">
        <f t="shared" si="0"/>
        <v>0.29499999999999998</v>
      </c>
      <c r="G26" s="6" t="str">
        <f t="shared" si="1"/>
        <v>Sedang</v>
      </c>
      <c r="H26" s="18">
        <f t="shared" si="2"/>
        <v>8.5999999999999993E-2</v>
      </c>
      <c r="I26" s="18">
        <f t="shared" si="3"/>
        <v>7.5999999999999998E-2</v>
      </c>
      <c r="J26" s="18">
        <f t="shared" si="4"/>
        <v>9.5000000000000001E-2</v>
      </c>
      <c r="K26" s="18">
        <f t="shared" si="5"/>
        <v>0.13300000000000001</v>
      </c>
      <c r="L26" s="18">
        <f t="shared" si="6"/>
        <v>0.17100000000000001</v>
      </c>
      <c r="M26" s="18">
        <f t="shared" si="7"/>
        <v>0.20899999999999999</v>
      </c>
      <c r="N26" s="18">
        <f t="shared" si="8"/>
        <v>0.23799999999999999</v>
      </c>
      <c r="O26" s="18">
        <f t="shared" si="9"/>
        <v>0.25700000000000001</v>
      </c>
      <c r="P26" s="18">
        <f t="shared" si="10"/>
        <v>0.23799999999999999</v>
      </c>
      <c r="Q26" s="18">
        <f t="shared" si="11"/>
        <v>0.19</v>
      </c>
      <c r="R26" s="18">
        <f t="shared" si="12"/>
        <v>0.13300000000000001</v>
      </c>
      <c r="S26" s="18">
        <f t="shared" si="13"/>
        <v>9.5000000000000001E-2</v>
      </c>
    </row>
    <row r="27" spans="1:19" ht="15" thickBot="1">
      <c r="A27" s="6" t="s">
        <v>83</v>
      </c>
      <c r="B27" s="6" t="s">
        <v>97</v>
      </c>
      <c r="C27" s="7" t="s">
        <v>162</v>
      </c>
      <c r="D27" s="10">
        <v>300</v>
      </c>
      <c r="E27" s="18">
        <v>0.18</v>
      </c>
      <c r="F27" s="18">
        <f t="shared" si="0"/>
        <v>0.27900000000000003</v>
      </c>
      <c r="G27" s="6" t="str">
        <f t="shared" si="1"/>
        <v>Sedang</v>
      </c>
      <c r="H27" s="18">
        <f t="shared" si="2"/>
        <v>8.1000000000000003E-2</v>
      </c>
      <c r="I27" s="18">
        <f t="shared" si="3"/>
        <v>7.1999999999999995E-2</v>
      </c>
      <c r="J27" s="18">
        <f t="shared" si="4"/>
        <v>0.09</v>
      </c>
      <c r="K27" s="18">
        <f t="shared" si="5"/>
        <v>0.126</v>
      </c>
      <c r="L27" s="18">
        <f t="shared" si="6"/>
        <v>0.16200000000000001</v>
      </c>
      <c r="M27" s="18">
        <f t="shared" si="7"/>
        <v>0.19800000000000001</v>
      </c>
      <c r="N27" s="18">
        <f t="shared" si="8"/>
        <v>0.22500000000000001</v>
      </c>
      <c r="O27" s="18">
        <f t="shared" si="9"/>
        <v>0.24299999999999999</v>
      </c>
      <c r="P27" s="18">
        <f t="shared" si="10"/>
        <v>0.22500000000000001</v>
      </c>
      <c r="Q27" s="18">
        <f t="shared" si="11"/>
        <v>0.18</v>
      </c>
      <c r="R27" s="18">
        <f t="shared" si="12"/>
        <v>0.126</v>
      </c>
      <c r="S27" s="18">
        <f t="shared" si="13"/>
        <v>0.09</v>
      </c>
    </row>
    <row r="28" spans="1:19" ht="15" thickBot="1">
      <c r="A28" s="6" t="s">
        <v>99</v>
      </c>
      <c r="B28" s="6" t="s">
        <v>100</v>
      </c>
      <c r="C28" s="7" t="s">
        <v>163</v>
      </c>
      <c r="D28" s="10">
        <v>250</v>
      </c>
      <c r="E28" s="18">
        <v>0.16</v>
      </c>
      <c r="F28" s="18">
        <f t="shared" si="0"/>
        <v>0.248</v>
      </c>
      <c r="G28" s="6" t="str">
        <f t="shared" si="1"/>
        <v>Sedang</v>
      </c>
      <c r="H28" s="18">
        <f t="shared" si="2"/>
        <v>7.1999999999999995E-2</v>
      </c>
      <c r="I28" s="18">
        <f t="shared" si="3"/>
        <v>6.4000000000000001E-2</v>
      </c>
      <c r="J28" s="18">
        <f t="shared" si="4"/>
        <v>0.08</v>
      </c>
      <c r="K28" s="18">
        <f t="shared" si="5"/>
        <v>0.112</v>
      </c>
      <c r="L28" s="18">
        <f t="shared" si="6"/>
        <v>0.14399999999999999</v>
      </c>
      <c r="M28" s="18">
        <f t="shared" si="7"/>
        <v>0.17599999999999999</v>
      </c>
      <c r="N28" s="18">
        <f t="shared" si="8"/>
        <v>0.2</v>
      </c>
      <c r="O28" s="18">
        <f t="shared" si="9"/>
        <v>0.216</v>
      </c>
      <c r="P28" s="18">
        <f t="shared" si="10"/>
        <v>0.2</v>
      </c>
      <c r="Q28" s="18">
        <f t="shared" si="11"/>
        <v>0.16</v>
      </c>
      <c r="R28" s="18">
        <f t="shared" si="12"/>
        <v>0.112</v>
      </c>
      <c r="S28" s="18">
        <f t="shared" si="13"/>
        <v>0.08</v>
      </c>
    </row>
    <row r="29" spans="1:19" ht="15" thickBot="1">
      <c r="A29" s="6" t="s">
        <v>99</v>
      </c>
      <c r="B29" s="6" t="s">
        <v>99</v>
      </c>
      <c r="C29" s="7" t="s">
        <v>164</v>
      </c>
      <c r="D29" s="10">
        <v>200</v>
      </c>
      <c r="E29" s="18">
        <v>0.15</v>
      </c>
      <c r="F29" s="18">
        <f t="shared" si="0"/>
        <v>0.23300000000000001</v>
      </c>
      <c r="G29" s="6" t="str">
        <f t="shared" si="1"/>
        <v>Sedang</v>
      </c>
      <c r="H29" s="18">
        <f t="shared" si="2"/>
        <v>6.8000000000000005E-2</v>
      </c>
      <c r="I29" s="18">
        <f t="shared" si="3"/>
        <v>0.06</v>
      </c>
      <c r="J29" s="18">
        <f t="shared" si="4"/>
        <v>7.4999999999999997E-2</v>
      </c>
      <c r="K29" s="18">
        <f t="shared" si="5"/>
        <v>0.105</v>
      </c>
      <c r="L29" s="18">
        <f t="shared" si="6"/>
        <v>0.13500000000000001</v>
      </c>
      <c r="M29" s="18">
        <f t="shared" si="7"/>
        <v>0.16500000000000001</v>
      </c>
      <c r="N29" s="18">
        <f t="shared" si="8"/>
        <v>0.188</v>
      </c>
      <c r="O29" s="18">
        <f t="shared" si="9"/>
        <v>0.20300000000000001</v>
      </c>
      <c r="P29" s="18">
        <f t="shared" si="10"/>
        <v>0.188</v>
      </c>
      <c r="Q29" s="18">
        <f t="shared" si="11"/>
        <v>0.15</v>
      </c>
      <c r="R29" s="18">
        <f t="shared" si="12"/>
        <v>0.105</v>
      </c>
      <c r="S29" s="18">
        <f t="shared" si="13"/>
        <v>7.4999999999999997E-2</v>
      </c>
    </row>
    <row r="30" spans="1:19" ht="15" thickBot="1">
      <c r="A30" s="6" t="s">
        <v>99</v>
      </c>
      <c r="B30" s="6" t="s">
        <v>103</v>
      </c>
      <c r="C30" s="7" t="s">
        <v>165</v>
      </c>
      <c r="D30" s="10">
        <v>800</v>
      </c>
      <c r="E30" s="18">
        <v>0.22</v>
      </c>
      <c r="F30" s="18">
        <f t="shared" si="0"/>
        <v>0.34100000000000003</v>
      </c>
      <c r="G30" s="6" t="str">
        <f t="shared" si="1"/>
        <v>Sedang</v>
      </c>
      <c r="H30" s="18">
        <f t="shared" si="2"/>
        <v>9.9000000000000005E-2</v>
      </c>
      <c r="I30" s="18">
        <f t="shared" si="3"/>
        <v>8.7999999999999995E-2</v>
      </c>
      <c r="J30" s="18">
        <f t="shared" si="4"/>
        <v>0.11</v>
      </c>
      <c r="K30" s="18">
        <f t="shared" si="5"/>
        <v>0.154</v>
      </c>
      <c r="L30" s="18">
        <f t="shared" si="6"/>
        <v>0.19800000000000001</v>
      </c>
      <c r="M30" s="18">
        <f t="shared" si="7"/>
        <v>0.24199999999999999</v>
      </c>
      <c r="N30" s="18">
        <f t="shared" si="8"/>
        <v>0.27500000000000002</v>
      </c>
      <c r="O30" s="18">
        <f t="shared" si="9"/>
        <v>0.29699999999999999</v>
      </c>
      <c r="P30" s="18">
        <f t="shared" si="10"/>
        <v>0.27500000000000002</v>
      </c>
      <c r="Q30" s="18">
        <f t="shared" si="11"/>
        <v>0.22</v>
      </c>
      <c r="R30" s="18">
        <f t="shared" si="12"/>
        <v>0.154</v>
      </c>
      <c r="S30" s="18">
        <f t="shared" si="13"/>
        <v>0.11</v>
      </c>
    </row>
    <row r="31" spans="1:19" ht="15" thickBot="1">
      <c r="A31" s="6" t="s">
        <v>99</v>
      </c>
      <c r="B31" s="6" t="s">
        <v>105</v>
      </c>
      <c r="C31" s="7" t="s">
        <v>166</v>
      </c>
      <c r="D31" s="10">
        <v>1400</v>
      </c>
      <c r="E31" s="18">
        <v>0.26</v>
      </c>
      <c r="F31" s="18">
        <f t="shared" si="0"/>
        <v>0.40300000000000002</v>
      </c>
      <c r="G31" s="6" t="str">
        <f t="shared" si="1"/>
        <v>Tinggi</v>
      </c>
      <c r="H31" s="18">
        <f t="shared" si="2"/>
        <v>0.11700000000000001</v>
      </c>
      <c r="I31" s="18">
        <f t="shared" si="3"/>
        <v>0.104</v>
      </c>
      <c r="J31" s="18">
        <f t="shared" si="4"/>
        <v>0.13</v>
      </c>
      <c r="K31" s="18">
        <f t="shared" si="5"/>
        <v>0.182</v>
      </c>
      <c r="L31" s="18">
        <f t="shared" si="6"/>
        <v>0.23400000000000001</v>
      </c>
      <c r="M31" s="18">
        <f t="shared" si="7"/>
        <v>0.28599999999999998</v>
      </c>
      <c r="N31" s="18">
        <f t="shared" si="8"/>
        <v>0.32500000000000001</v>
      </c>
      <c r="O31" s="18">
        <f t="shared" si="9"/>
        <v>0.35099999999999998</v>
      </c>
      <c r="P31" s="18">
        <f t="shared" si="10"/>
        <v>0.32500000000000001</v>
      </c>
      <c r="Q31" s="18">
        <f t="shared" si="11"/>
        <v>0.26</v>
      </c>
      <c r="R31" s="18">
        <f t="shared" si="12"/>
        <v>0.182</v>
      </c>
      <c r="S31" s="18">
        <f t="shared" si="13"/>
        <v>0.13</v>
      </c>
    </row>
    <row r="32" spans="1:19" ht="15" thickBot="1">
      <c r="A32" s="6" t="s">
        <v>122</v>
      </c>
      <c r="B32" s="6" t="s">
        <v>122</v>
      </c>
      <c r="C32" s="7" t="s">
        <v>167</v>
      </c>
      <c r="D32" s="10">
        <v>3800</v>
      </c>
      <c r="E32" s="18">
        <v>0.34</v>
      </c>
      <c r="F32" s="18">
        <f t="shared" si="0"/>
        <v>0.52700000000000002</v>
      </c>
      <c r="G32" s="6" t="str">
        <f t="shared" si="1"/>
        <v>Tinggi</v>
      </c>
      <c r="H32" s="18">
        <f t="shared" si="2"/>
        <v>0.153</v>
      </c>
      <c r="I32" s="18">
        <f t="shared" si="3"/>
        <v>0.13600000000000001</v>
      </c>
      <c r="J32" s="18">
        <f t="shared" si="4"/>
        <v>0.17</v>
      </c>
      <c r="K32" s="18">
        <f t="shared" si="5"/>
        <v>0.23799999999999999</v>
      </c>
      <c r="L32" s="18">
        <f t="shared" si="6"/>
        <v>0.30599999999999999</v>
      </c>
      <c r="M32" s="18">
        <f t="shared" si="7"/>
        <v>0.374</v>
      </c>
      <c r="N32" s="18">
        <f t="shared" si="8"/>
        <v>0.42499999999999999</v>
      </c>
      <c r="O32" s="18">
        <f t="shared" si="9"/>
        <v>0.45900000000000002</v>
      </c>
      <c r="P32" s="18">
        <f t="shared" si="10"/>
        <v>0.42499999999999999</v>
      </c>
      <c r="Q32" s="18">
        <f t="shared" si="11"/>
        <v>0.34</v>
      </c>
      <c r="R32" s="18">
        <f t="shared" si="12"/>
        <v>0.23799999999999999</v>
      </c>
      <c r="S32" s="18">
        <f t="shared" si="13"/>
        <v>0.17</v>
      </c>
    </row>
    <row r="33" spans="1:19" ht="15" thickBot="1">
      <c r="A33" s="6" t="s">
        <v>122</v>
      </c>
      <c r="B33" s="6" t="s">
        <v>124</v>
      </c>
      <c r="C33" s="7" t="s">
        <v>168</v>
      </c>
      <c r="D33" s="10">
        <v>700</v>
      </c>
      <c r="E33" s="18">
        <v>0.23</v>
      </c>
      <c r="F33" s="18">
        <f t="shared" si="0"/>
        <v>0.35699999999999998</v>
      </c>
      <c r="G33" s="6" t="str">
        <f t="shared" si="1"/>
        <v>Tinggi</v>
      </c>
      <c r="H33" s="18">
        <f t="shared" si="2"/>
        <v>0.104</v>
      </c>
      <c r="I33" s="18">
        <f t="shared" si="3"/>
        <v>9.1999999999999998E-2</v>
      </c>
      <c r="J33" s="18">
        <f t="shared" si="4"/>
        <v>0.115</v>
      </c>
      <c r="K33" s="18">
        <f t="shared" si="5"/>
        <v>0.161</v>
      </c>
      <c r="L33" s="18">
        <f t="shared" si="6"/>
        <v>0.20699999999999999</v>
      </c>
      <c r="M33" s="18">
        <f t="shared" si="7"/>
        <v>0.253</v>
      </c>
      <c r="N33" s="18">
        <f t="shared" si="8"/>
        <v>0.28799999999999998</v>
      </c>
      <c r="O33" s="18">
        <f t="shared" si="9"/>
        <v>0.311</v>
      </c>
      <c r="P33" s="18">
        <f t="shared" si="10"/>
        <v>0.28799999999999998</v>
      </c>
      <c r="Q33" s="18">
        <f t="shared" si="11"/>
        <v>0.23</v>
      </c>
      <c r="R33" s="18">
        <f t="shared" si="12"/>
        <v>0.161</v>
      </c>
      <c r="S33" s="18">
        <f t="shared" si="13"/>
        <v>0.115</v>
      </c>
    </row>
    <row r="34" spans="1:19" ht="15" thickBot="1">
      <c r="A34" s="6" t="s">
        <v>122</v>
      </c>
      <c r="B34" s="6" t="s">
        <v>126</v>
      </c>
      <c r="C34" s="7" t="s">
        <v>169</v>
      </c>
      <c r="D34" s="10">
        <v>500</v>
      </c>
      <c r="E34" s="18">
        <v>0.21</v>
      </c>
      <c r="F34" s="18">
        <f t="shared" si="0"/>
        <v>0.32600000000000001</v>
      </c>
      <c r="G34" s="6" t="str">
        <f t="shared" si="1"/>
        <v>Sedang</v>
      </c>
      <c r="H34" s="18">
        <f t="shared" si="2"/>
        <v>9.5000000000000001E-2</v>
      </c>
      <c r="I34" s="18">
        <f t="shared" si="3"/>
        <v>8.4000000000000005E-2</v>
      </c>
      <c r="J34" s="18">
        <f t="shared" si="4"/>
        <v>0.105</v>
      </c>
      <c r="K34" s="18">
        <f t="shared" si="5"/>
        <v>0.14699999999999999</v>
      </c>
      <c r="L34" s="18">
        <f t="shared" si="6"/>
        <v>0.189</v>
      </c>
      <c r="M34" s="18">
        <f t="shared" si="7"/>
        <v>0.23100000000000001</v>
      </c>
      <c r="N34" s="18">
        <f t="shared" si="8"/>
        <v>0.26300000000000001</v>
      </c>
      <c r="O34" s="18">
        <f t="shared" si="9"/>
        <v>0.28399999999999997</v>
      </c>
      <c r="P34" s="18">
        <f t="shared" si="10"/>
        <v>0.26300000000000001</v>
      </c>
      <c r="Q34" s="18">
        <f t="shared" si="11"/>
        <v>0.21</v>
      </c>
      <c r="R34" s="18">
        <f t="shared" si="12"/>
        <v>0.14699999999999999</v>
      </c>
      <c r="S34" s="18">
        <f t="shared" si="13"/>
        <v>0.105</v>
      </c>
    </row>
    <row r="35" spans="1:19">
      <c r="A35" s="6" t="s">
        <v>122</v>
      </c>
      <c r="B35" s="6" t="s">
        <v>128</v>
      </c>
      <c r="C35" s="7" t="s">
        <v>170</v>
      </c>
      <c r="D35" s="10">
        <v>300</v>
      </c>
      <c r="E35" s="18">
        <v>0.18</v>
      </c>
      <c r="F35" s="18">
        <f t="shared" si="0"/>
        <v>0.27900000000000003</v>
      </c>
      <c r="G35" s="6" t="str">
        <f t="shared" si="1"/>
        <v>Sedang</v>
      </c>
      <c r="H35" s="18">
        <f t="shared" si="2"/>
        <v>8.1000000000000003E-2</v>
      </c>
      <c r="I35" s="18">
        <f t="shared" si="3"/>
        <v>7.1999999999999995E-2</v>
      </c>
      <c r="J35" s="18">
        <f t="shared" si="4"/>
        <v>0.09</v>
      </c>
      <c r="K35" s="18">
        <f t="shared" si="5"/>
        <v>0.126</v>
      </c>
      <c r="L35" s="18">
        <f t="shared" si="6"/>
        <v>0.16200000000000001</v>
      </c>
      <c r="M35" s="18">
        <f t="shared" si="7"/>
        <v>0.19800000000000001</v>
      </c>
      <c r="N35" s="18">
        <f t="shared" si="8"/>
        <v>0.22500000000000001</v>
      </c>
      <c r="O35" s="18">
        <f t="shared" si="9"/>
        <v>0.24299999999999999</v>
      </c>
      <c r="P35" s="18">
        <f t="shared" si="10"/>
        <v>0.22500000000000001</v>
      </c>
      <c r="Q35" s="18">
        <f t="shared" si="11"/>
        <v>0.18</v>
      </c>
      <c r="R35" s="18">
        <f t="shared" si="12"/>
        <v>0.126</v>
      </c>
      <c r="S35" s="18">
        <f t="shared" si="13"/>
        <v>0.09</v>
      </c>
    </row>
  </sheetData>
  <conditionalFormatting sqref="E2:S35">
    <cfRule type="colorScale" priority="4">
      <colorScale>
        <cfvo type="min"/>
        <cfvo type="percentile" val="50"/>
        <cfvo type="max"/>
        <color rgb="FFFFFFFF"/>
        <color rgb="FFFFD966"/>
        <color rgb="FF63BE7B"/>
      </colorScale>
    </cfRule>
  </conditionalFormatting>
  <conditionalFormatting sqref="G2:G35">
    <cfRule type="expression" dxfId="50" priority="1">
      <formula>$G2="Tinggi"</formula>
    </cfRule>
    <cfRule type="expression" dxfId="49" priority="2">
      <formula>$G2="Sedang"</formula>
    </cfRule>
    <cfRule type="expression" dxfId="48" priority="3">
      <formula>$G2="Rendah"</formula>
    </cfRule>
  </conditionalFormatting>
  <pageMargins left="0.7" right="0.7" top="0.75" bottom="0.75" header="0.3" footer="0.3"/>
  <headerFooter>
    <oddFooter>&amp;R_x000D_&amp;1#&amp;"Aptos"&amp;22&amp;KFF8939 RESTRICTED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3FE81-9A54-4C1E-8E68-0A990AE65066}">
  <dimension ref="A1:Q35"/>
  <sheetViews>
    <sheetView topLeftCell="I1" workbookViewId="0">
      <selection activeCell="P15" sqref="P15"/>
    </sheetView>
  </sheetViews>
  <sheetFormatPr defaultRowHeight="14.5"/>
  <cols>
    <col min="1" max="1" width="10.1796875" bestFit="1" customWidth="1"/>
    <col min="2" max="2" width="12.7265625" bestFit="1" customWidth="1"/>
    <col min="3" max="3" width="34.54296875" customWidth="1"/>
    <col min="4" max="4" width="12.90625" bestFit="1" customWidth="1"/>
    <col min="5" max="5" width="10.08984375" bestFit="1" customWidth="1"/>
    <col min="6" max="6" width="9.81640625" bestFit="1" customWidth="1"/>
    <col min="7" max="7" width="6.90625" bestFit="1" customWidth="1"/>
    <col min="8" max="8" width="15" bestFit="1" customWidth="1"/>
    <col min="9" max="9" width="10.08984375" bestFit="1" customWidth="1"/>
    <col min="10" max="10" width="13.7265625" bestFit="1" customWidth="1"/>
    <col min="11" max="11" width="11.453125" bestFit="1" customWidth="1"/>
    <col min="12" max="12" width="13.81640625" bestFit="1" customWidth="1"/>
    <col min="13" max="13" width="11.453125" bestFit="1" customWidth="1"/>
    <col min="14" max="14" width="15" bestFit="1" customWidth="1"/>
    <col min="15" max="15" width="11.453125" bestFit="1" customWidth="1"/>
    <col min="16" max="16" width="14" bestFit="1" customWidth="1"/>
    <col min="17" max="17" width="11.453125" bestFit="1" customWidth="1"/>
  </cols>
  <sheetData>
    <row r="1" spans="1:17" ht="58">
      <c r="A1" s="11" t="s">
        <v>24</v>
      </c>
      <c r="B1" s="11" t="s">
        <v>25</v>
      </c>
      <c r="C1" s="11" t="s">
        <v>171</v>
      </c>
      <c r="D1" s="11" t="s">
        <v>172</v>
      </c>
      <c r="E1" s="11" t="s">
        <v>173</v>
      </c>
      <c r="F1" s="11" t="s">
        <v>174</v>
      </c>
      <c r="G1" s="11" t="s">
        <v>30</v>
      </c>
      <c r="H1" s="11" t="str">
        <f>"Produk 1 ("&amp;TEXT(MIN(I2:I35),"0%")&amp;"–"&amp;TEXT(MAX(I2:I35),"0%")&amp;")"</f>
        <v>Produk 1 (27%–30%)</v>
      </c>
      <c r="I1" s="11" t="s">
        <v>107</v>
      </c>
      <c r="J1" s="11" t="str">
        <f>"Produk 2 ("&amp;TEXT(MIN(K2:K35),"0%")&amp;"–"&amp;TEXT(MAX(K2:K35),"0%")&amp;")"</f>
        <v>Produk 2 (23%–24%)</v>
      </c>
      <c r="K1" s="11" t="s">
        <v>108</v>
      </c>
      <c r="L1" s="11" t="str">
        <f>"Produk 3 ("&amp;TEXT(MIN(M2:M35),"0%")&amp;"–"&amp;TEXT(MAX(M2:M35),"0%")&amp;")"</f>
        <v>Produk 3 (19%–20%)</v>
      </c>
      <c r="M1" s="11" t="s">
        <v>109</v>
      </c>
      <c r="N1" s="11" t="str">
        <f>"Produk 4 ("&amp;TEXT(MIN(O2:O35),"0%")&amp;"–"&amp;TEXT(MAX(O2:O35),"0%")&amp;")"</f>
        <v>Produk 4 (15%–17%)</v>
      </c>
      <c r="O1" s="11" t="s">
        <v>110</v>
      </c>
      <c r="P1" s="11" t="str">
        <f>"Produk 5 ("&amp;TEXT(MIN(Q2:Q35),"0%")&amp;"–"&amp;TEXT(MAX(Q2:Q35),"0%")&amp;")"</f>
        <v>Produk 5 (12%–13%)</v>
      </c>
      <c r="Q1" s="11" t="s">
        <v>111</v>
      </c>
    </row>
    <row r="2" spans="1:17">
      <c r="A2" t="s">
        <v>43</v>
      </c>
      <c r="B2" t="s">
        <v>43</v>
      </c>
      <c r="C2" s="13" t="s">
        <v>137</v>
      </c>
      <c r="D2" s="19">
        <v>32509</v>
      </c>
      <c r="E2" s="12">
        <v>0.42</v>
      </c>
      <c r="F2" s="12">
        <v>0.65100000000000002</v>
      </c>
      <c r="G2" t="s">
        <v>65</v>
      </c>
      <c r="H2" s="14" t="s">
        <v>178</v>
      </c>
      <c r="I2" s="3">
        <v>0.3</v>
      </c>
      <c r="J2" s="14" t="s">
        <v>179</v>
      </c>
      <c r="K2" s="3">
        <v>0.24</v>
      </c>
      <c r="L2" s="15" t="s">
        <v>181</v>
      </c>
      <c r="M2" s="3">
        <v>0.19</v>
      </c>
      <c r="N2" s="15" t="s">
        <v>182</v>
      </c>
      <c r="O2" s="3">
        <v>0.15</v>
      </c>
      <c r="P2" s="15" t="s">
        <v>183</v>
      </c>
      <c r="Q2" s="3">
        <v>0.12</v>
      </c>
    </row>
    <row r="3" spans="1:17">
      <c r="A3" t="s">
        <v>43</v>
      </c>
      <c r="B3" t="s">
        <v>46</v>
      </c>
      <c r="C3" s="13" t="s">
        <v>138</v>
      </c>
      <c r="D3" s="19">
        <v>1800</v>
      </c>
      <c r="E3" s="12">
        <v>0.3</v>
      </c>
      <c r="F3" s="12">
        <v>0.46500000000000002</v>
      </c>
      <c r="G3" t="s">
        <v>65</v>
      </c>
      <c r="H3" s="14" t="s">
        <v>178</v>
      </c>
      <c r="I3" s="3">
        <v>0.3</v>
      </c>
      <c r="J3" s="14" t="s">
        <v>179</v>
      </c>
      <c r="K3" s="3">
        <v>0.24</v>
      </c>
      <c r="L3" s="15" t="s">
        <v>181</v>
      </c>
      <c r="M3" s="3">
        <v>0.19</v>
      </c>
      <c r="N3" s="15" t="s">
        <v>182</v>
      </c>
      <c r="O3" s="3">
        <v>0.15</v>
      </c>
      <c r="P3" s="15" t="s">
        <v>183</v>
      </c>
      <c r="Q3" s="3">
        <v>0.12</v>
      </c>
    </row>
    <row r="4" spans="1:17">
      <c r="A4" t="s">
        <v>43</v>
      </c>
      <c r="B4" t="s">
        <v>48</v>
      </c>
      <c r="C4" s="13" t="s">
        <v>139</v>
      </c>
      <c r="D4" s="19">
        <v>250</v>
      </c>
      <c r="E4" s="12">
        <v>0.18</v>
      </c>
      <c r="F4" s="12">
        <v>0.27900000000000003</v>
      </c>
      <c r="G4" t="s">
        <v>45</v>
      </c>
      <c r="H4" s="15" t="s">
        <v>181</v>
      </c>
      <c r="I4" s="3">
        <v>0.28000000000000003</v>
      </c>
      <c r="J4" s="14" t="s">
        <v>178</v>
      </c>
      <c r="K4" s="3">
        <v>0.24</v>
      </c>
      <c r="L4" s="14" t="s">
        <v>179</v>
      </c>
      <c r="M4" s="3">
        <v>0.2</v>
      </c>
      <c r="N4" s="15" t="s">
        <v>182</v>
      </c>
      <c r="O4" s="3">
        <v>0.16</v>
      </c>
      <c r="P4" s="15" t="s">
        <v>183</v>
      </c>
      <c r="Q4" s="3">
        <v>0.12</v>
      </c>
    </row>
    <row r="5" spans="1:17">
      <c r="A5" t="s">
        <v>51</v>
      </c>
      <c r="B5" t="s">
        <v>52</v>
      </c>
      <c r="C5" s="13" t="s">
        <v>140</v>
      </c>
      <c r="D5" s="19">
        <v>700</v>
      </c>
      <c r="E5" s="12">
        <v>0.24</v>
      </c>
      <c r="F5" s="12">
        <v>0.372</v>
      </c>
      <c r="G5" t="s">
        <v>65</v>
      </c>
      <c r="H5" s="14" t="s">
        <v>184</v>
      </c>
      <c r="I5" s="3">
        <v>0.3</v>
      </c>
      <c r="J5" s="14" t="s">
        <v>179</v>
      </c>
      <c r="K5" s="3">
        <v>0.24</v>
      </c>
      <c r="L5" s="15" t="s">
        <v>185</v>
      </c>
      <c r="M5" s="3">
        <v>0.19</v>
      </c>
      <c r="N5" s="15" t="s">
        <v>180</v>
      </c>
      <c r="O5" s="3">
        <v>0.15</v>
      </c>
      <c r="P5" s="15" t="s">
        <v>186</v>
      </c>
      <c r="Q5" s="3">
        <v>0.12</v>
      </c>
    </row>
    <row r="6" spans="1:17">
      <c r="A6" t="s">
        <v>51</v>
      </c>
      <c r="B6" t="s">
        <v>51</v>
      </c>
      <c r="C6" s="13" t="s">
        <v>141</v>
      </c>
      <c r="D6" s="19">
        <v>350</v>
      </c>
      <c r="E6" s="12">
        <v>0.2</v>
      </c>
      <c r="F6" s="12">
        <v>0.31</v>
      </c>
      <c r="G6" t="s">
        <v>45</v>
      </c>
      <c r="H6" s="15" t="s">
        <v>185</v>
      </c>
      <c r="I6" s="3">
        <v>0.28000000000000003</v>
      </c>
      <c r="J6" s="14" t="s">
        <v>184</v>
      </c>
      <c r="K6" s="3">
        <v>0.24</v>
      </c>
      <c r="L6" s="14" t="s">
        <v>179</v>
      </c>
      <c r="M6" s="3">
        <v>0.2</v>
      </c>
      <c r="N6" s="15" t="s">
        <v>180</v>
      </c>
      <c r="O6" s="3">
        <v>0.16</v>
      </c>
      <c r="P6" s="15" t="s">
        <v>186</v>
      </c>
      <c r="Q6" s="3">
        <v>0.12</v>
      </c>
    </row>
    <row r="7" spans="1:17">
      <c r="A7" t="s">
        <v>51</v>
      </c>
      <c r="B7" t="s">
        <v>55</v>
      </c>
      <c r="C7" s="13" t="s">
        <v>142</v>
      </c>
      <c r="D7" s="19">
        <v>250</v>
      </c>
      <c r="E7" s="12">
        <v>0.18</v>
      </c>
      <c r="F7" s="12">
        <v>0.27900000000000003</v>
      </c>
      <c r="G7" t="s">
        <v>45</v>
      </c>
      <c r="H7" s="15" t="s">
        <v>185</v>
      </c>
      <c r="I7" s="3">
        <v>0.28000000000000003</v>
      </c>
      <c r="J7" s="14" t="s">
        <v>184</v>
      </c>
      <c r="K7" s="3">
        <v>0.24</v>
      </c>
      <c r="L7" s="14" t="s">
        <v>179</v>
      </c>
      <c r="M7" s="3">
        <v>0.2</v>
      </c>
      <c r="N7" s="15" t="s">
        <v>180</v>
      </c>
      <c r="O7" s="3">
        <v>0.16</v>
      </c>
      <c r="P7" s="15" t="s">
        <v>186</v>
      </c>
      <c r="Q7" s="3">
        <v>0.12</v>
      </c>
    </row>
    <row r="8" spans="1:17">
      <c r="A8" t="s">
        <v>51</v>
      </c>
      <c r="B8" t="s">
        <v>57</v>
      </c>
      <c r="C8" s="13" t="s">
        <v>143</v>
      </c>
      <c r="D8" s="19">
        <v>1600</v>
      </c>
      <c r="E8" s="12">
        <v>0.28000000000000003</v>
      </c>
      <c r="F8" s="12">
        <v>0.434</v>
      </c>
      <c r="G8" t="s">
        <v>65</v>
      </c>
      <c r="H8" s="14" t="s">
        <v>184</v>
      </c>
      <c r="I8" s="3">
        <v>0.3</v>
      </c>
      <c r="J8" s="14" t="s">
        <v>179</v>
      </c>
      <c r="K8" s="3">
        <v>0.24</v>
      </c>
      <c r="L8" s="15" t="s">
        <v>185</v>
      </c>
      <c r="M8" s="3">
        <v>0.19</v>
      </c>
      <c r="N8" s="15" t="s">
        <v>180</v>
      </c>
      <c r="O8" s="3">
        <v>0.15</v>
      </c>
      <c r="P8" s="15" t="s">
        <v>186</v>
      </c>
      <c r="Q8" s="3">
        <v>0.12</v>
      </c>
    </row>
    <row r="9" spans="1:17">
      <c r="A9" t="s">
        <v>59</v>
      </c>
      <c r="B9" t="s">
        <v>59</v>
      </c>
      <c r="C9" s="13" t="s">
        <v>144</v>
      </c>
      <c r="D9" s="19">
        <v>200</v>
      </c>
      <c r="E9" s="12">
        <v>0.17</v>
      </c>
      <c r="F9" s="12">
        <v>0.26400000000000001</v>
      </c>
      <c r="G9" t="s">
        <v>45</v>
      </c>
      <c r="H9" s="15" t="s">
        <v>181</v>
      </c>
      <c r="I9" s="3">
        <v>0.28000000000000003</v>
      </c>
      <c r="J9" s="14" t="s">
        <v>184</v>
      </c>
      <c r="K9" s="3">
        <v>0.24</v>
      </c>
      <c r="L9" s="14" t="s">
        <v>179</v>
      </c>
      <c r="M9" s="3">
        <v>0.2</v>
      </c>
      <c r="N9" s="15" t="s">
        <v>187</v>
      </c>
      <c r="O9" s="3">
        <v>0.16</v>
      </c>
      <c r="P9" s="15" t="s">
        <v>183</v>
      </c>
      <c r="Q9" s="3">
        <v>0.12</v>
      </c>
    </row>
    <row r="10" spans="1:17">
      <c r="A10" t="s">
        <v>59</v>
      </c>
      <c r="B10" t="s">
        <v>61</v>
      </c>
      <c r="C10" s="13" t="s">
        <v>145</v>
      </c>
      <c r="D10" s="19">
        <v>25</v>
      </c>
      <c r="E10" s="12">
        <v>0.12</v>
      </c>
      <c r="F10" s="12">
        <v>0.186</v>
      </c>
      <c r="G10" t="s">
        <v>50</v>
      </c>
      <c r="H10" s="15" t="s">
        <v>187</v>
      </c>
      <c r="I10" s="3">
        <v>0.27</v>
      </c>
      <c r="J10" s="15" t="s">
        <v>181</v>
      </c>
      <c r="K10" s="3">
        <v>0.23</v>
      </c>
      <c r="L10" s="14" t="s">
        <v>184</v>
      </c>
      <c r="M10" s="3">
        <v>0.2</v>
      </c>
      <c r="N10" s="15" t="s">
        <v>183</v>
      </c>
      <c r="O10" s="3">
        <v>0.17</v>
      </c>
      <c r="P10" s="14" t="s">
        <v>179</v>
      </c>
      <c r="Q10" s="3">
        <v>0.13</v>
      </c>
    </row>
    <row r="11" spans="1:17">
      <c r="A11" t="s">
        <v>59</v>
      </c>
      <c r="B11" t="s">
        <v>63</v>
      </c>
      <c r="C11" s="13" t="s">
        <v>146</v>
      </c>
      <c r="D11" s="19">
        <v>6500</v>
      </c>
      <c r="E11" s="12">
        <v>0.36</v>
      </c>
      <c r="F11" s="12">
        <v>0.55800000000000005</v>
      </c>
      <c r="G11" t="s">
        <v>65</v>
      </c>
      <c r="H11" s="14" t="s">
        <v>184</v>
      </c>
      <c r="I11" s="3">
        <v>0.3</v>
      </c>
      <c r="J11" s="14" t="s">
        <v>179</v>
      </c>
      <c r="K11" s="3">
        <v>0.24</v>
      </c>
      <c r="L11" s="15" t="s">
        <v>181</v>
      </c>
      <c r="M11" s="3">
        <v>0.19</v>
      </c>
      <c r="N11" s="15" t="s">
        <v>187</v>
      </c>
      <c r="O11" s="3">
        <v>0.15</v>
      </c>
      <c r="P11" s="15" t="s">
        <v>183</v>
      </c>
      <c r="Q11" s="3">
        <v>0.12</v>
      </c>
    </row>
    <row r="12" spans="1:17">
      <c r="A12" t="s">
        <v>59</v>
      </c>
      <c r="B12" t="s">
        <v>66</v>
      </c>
      <c r="C12" s="13" t="s">
        <v>147</v>
      </c>
      <c r="D12" s="19">
        <v>300</v>
      </c>
      <c r="E12" s="12">
        <v>0.18</v>
      </c>
      <c r="F12" s="12">
        <v>0.27900000000000003</v>
      </c>
      <c r="G12" t="s">
        <v>45</v>
      </c>
      <c r="H12" s="15" t="s">
        <v>181</v>
      </c>
      <c r="I12" s="3">
        <v>0.28000000000000003</v>
      </c>
      <c r="J12" s="14" t="s">
        <v>184</v>
      </c>
      <c r="K12" s="3">
        <v>0.24</v>
      </c>
      <c r="L12" s="14" t="s">
        <v>179</v>
      </c>
      <c r="M12" s="3">
        <v>0.2</v>
      </c>
      <c r="N12" s="15" t="s">
        <v>187</v>
      </c>
      <c r="O12" s="3">
        <v>0.16</v>
      </c>
      <c r="P12" s="15" t="s">
        <v>183</v>
      </c>
      <c r="Q12" s="3">
        <v>0.12</v>
      </c>
    </row>
    <row r="13" spans="1:17">
      <c r="A13" t="s">
        <v>59</v>
      </c>
      <c r="B13" t="s">
        <v>68</v>
      </c>
      <c r="C13" s="13" t="s">
        <v>148</v>
      </c>
      <c r="D13" s="19">
        <v>2200</v>
      </c>
      <c r="E13" s="12">
        <v>0.3</v>
      </c>
      <c r="F13" s="12">
        <v>0.46500000000000002</v>
      </c>
      <c r="G13" t="s">
        <v>65</v>
      </c>
      <c r="H13" s="14" t="s">
        <v>184</v>
      </c>
      <c r="I13" s="3">
        <v>0.3</v>
      </c>
      <c r="J13" s="14" t="s">
        <v>179</v>
      </c>
      <c r="K13" s="3">
        <v>0.24</v>
      </c>
      <c r="L13" s="15" t="s">
        <v>181</v>
      </c>
      <c r="M13" s="3">
        <v>0.19</v>
      </c>
      <c r="N13" s="15" t="s">
        <v>187</v>
      </c>
      <c r="O13" s="3">
        <v>0.15</v>
      </c>
      <c r="P13" s="15" t="s">
        <v>183</v>
      </c>
      <c r="Q13" s="3">
        <v>0.12</v>
      </c>
    </row>
    <row r="14" spans="1:17">
      <c r="A14" t="s">
        <v>70</v>
      </c>
      <c r="B14" t="s">
        <v>71</v>
      </c>
      <c r="C14" s="13" t="s">
        <v>149</v>
      </c>
      <c r="D14" s="19">
        <v>450</v>
      </c>
      <c r="E14" s="12">
        <v>0.21</v>
      </c>
      <c r="F14" s="12">
        <v>0.32600000000000001</v>
      </c>
      <c r="G14" t="s">
        <v>45</v>
      </c>
      <c r="H14" s="15" t="s">
        <v>185</v>
      </c>
      <c r="I14" s="3">
        <v>0.28000000000000003</v>
      </c>
      <c r="J14" s="14" t="s">
        <v>178</v>
      </c>
      <c r="K14" s="3">
        <v>0.24</v>
      </c>
      <c r="L14" s="14" t="s">
        <v>179</v>
      </c>
      <c r="M14" s="3">
        <v>0.2</v>
      </c>
      <c r="N14" s="15" t="s">
        <v>180</v>
      </c>
      <c r="O14" s="3">
        <v>0.16</v>
      </c>
      <c r="P14" s="15" t="s">
        <v>186</v>
      </c>
      <c r="Q14" s="3">
        <v>0.12</v>
      </c>
    </row>
    <row r="15" spans="1:17">
      <c r="A15" t="s">
        <v>70</v>
      </c>
      <c r="B15" t="s">
        <v>73</v>
      </c>
      <c r="C15" s="13" t="s">
        <v>150</v>
      </c>
      <c r="D15" s="19">
        <v>250</v>
      </c>
      <c r="E15" s="12">
        <v>0.17</v>
      </c>
      <c r="F15" s="12">
        <v>0.26400000000000001</v>
      </c>
      <c r="G15" t="s">
        <v>45</v>
      </c>
      <c r="H15" s="15" t="s">
        <v>185</v>
      </c>
      <c r="I15" s="3">
        <v>0.28000000000000003</v>
      </c>
      <c r="J15" s="14" t="s">
        <v>178</v>
      </c>
      <c r="K15" s="3">
        <v>0.24</v>
      </c>
      <c r="L15" s="14" t="s">
        <v>179</v>
      </c>
      <c r="M15" s="3">
        <v>0.2</v>
      </c>
      <c r="N15" s="15" t="s">
        <v>180</v>
      </c>
      <c r="O15" s="3">
        <v>0.16</v>
      </c>
      <c r="P15" s="15" t="s">
        <v>186</v>
      </c>
      <c r="Q15" s="3">
        <v>0.12</v>
      </c>
    </row>
    <row r="16" spans="1:17">
      <c r="A16" t="s">
        <v>70</v>
      </c>
      <c r="B16" t="s">
        <v>75</v>
      </c>
      <c r="C16" s="13" t="s">
        <v>151</v>
      </c>
      <c r="D16" s="19">
        <v>300</v>
      </c>
      <c r="E16" s="12">
        <v>0.18</v>
      </c>
      <c r="F16" s="12">
        <v>0.27900000000000003</v>
      </c>
      <c r="G16" t="s">
        <v>45</v>
      </c>
      <c r="H16" s="15" t="s">
        <v>185</v>
      </c>
      <c r="I16" s="3">
        <v>0.28000000000000003</v>
      </c>
      <c r="J16" s="14" t="s">
        <v>178</v>
      </c>
      <c r="K16" s="3">
        <v>0.24</v>
      </c>
      <c r="L16" s="14" t="s">
        <v>179</v>
      </c>
      <c r="M16" s="3">
        <v>0.2</v>
      </c>
      <c r="N16" s="15" t="s">
        <v>180</v>
      </c>
      <c r="O16" s="3">
        <v>0.16</v>
      </c>
      <c r="P16" s="15" t="s">
        <v>186</v>
      </c>
      <c r="Q16" s="3">
        <v>0.12</v>
      </c>
    </row>
    <row r="17" spans="1:17">
      <c r="A17" t="s">
        <v>70</v>
      </c>
      <c r="B17" t="s">
        <v>77</v>
      </c>
      <c r="C17" s="13" t="s">
        <v>152</v>
      </c>
      <c r="D17" s="19">
        <v>450</v>
      </c>
      <c r="E17" s="12">
        <v>0.21</v>
      </c>
      <c r="F17" s="12">
        <v>0.32600000000000001</v>
      </c>
      <c r="G17" t="s">
        <v>45</v>
      </c>
      <c r="H17" s="15" t="s">
        <v>185</v>
      </c>
      <c r="I17" s="3">
        <v>0.28000000000000003</v>
      </c>
      <c r="J17" s="14" t="s">
        <v>178</v>
      </c>
      <c r="K17" s="3">
        <v>0.24</v>
      </c>
      <c r="L17" s="14" t="s">
        <v>179</v>
      </c>
      <c r="M17" s="3">
        <v>0.2</v>
      </c>
      <c r="N17" s="15" t="s">
        <v>180</v>
      </c>
      <c r="O17" s="3">
        <v>0.16</v>
      </c>
      <c r="P17" s="15" t="s">
        <v>186</v>
      </c>
      <c r="Q17" s="3">
        <v>0.12</v>
      </c>
    </row>
    <row r="18" spans="1:17">
      <c r="A18" t="s">
        <v>70</v>
      </c>
      <c r="B18" t="s">
        <v>79</v>
      </c>
      <c r="C18" s="13" t="s">
        <v>153</v>
      </c>
      <c r="D18" s="19">
        <v>900</v>
      </c>
      <c r="E18" s="12">
        <v>0.24</v>
      </c>
      <c r="F18" s="12">
        <v>0.372</v>
      </c>
      <c r="G18" t="s">
        <v>65</v>
      </c>
      <c r="H18" s="14" t="s">
        <v>178</v>
      </c>
      <c r="I18" s="3">
        <v>0.3</v>
      </c>
      <c r="J18" s="14" t="s">
        <v>179</v>
      </c>
      <c r="K18" s="3">
        <v>0.24</v>
      </c>
      <c r="L18" s="15" t="s">
        <v>185</v>
      </c>
      <c r="M18" s="3">
        <v>0.19</v>
      </c>
      <c r="N18" s="15" t="s">
        <v>180</v>
      </c>
      <c r="O18" s="3">
        <v>0.15</v>
      </c>
      <c r="P18" s="15" t="s">
        <v>186</v>
      </c>
      <c r="Q18" s="3">
        <v>0.12</v>
      </c>
    </row>
    <row r="19" spans="1:17">
      <c r="A19" t="s">
        <v>70</v>
      </c>
      <c r="B19" t="s">
        <v>81</v>
      </c>
      <c r="C19" s="13" t="s">
        <v>154</v>
      </c>
      <c r="D19" s="19">
        <v>200</v>
      </c>
      <c r="E19" s="12">
        <v>0.16</v>
      </c>
      <c r="F19" s="12">
        <v>0.248</v>
      </c>
      <c r="G19" t="s">
        <v>45</v>
      </c>
      <c r="H19" s="15" t="s">
        <v>185</v>
      </c>
      <c r="I19" s="3">
        <v>0.28000000000000003</v>
      </c>
      <c r="J19" s="14" t="s">
        <v>178</v>
      </c>
      <c r="K19" s="3">
        <v>0.24</v>
      </c>
      <c r="L19" s="14" t="s">
        <v>179</v>
      </c>
      <c r="M19" s="3">
        <v>0.2</v>
      </c>
      <c r="N19" s="15" t="s">
        <v>180</v>
      </c>
      <c r="O19" s="3">
        <v>0.16</v>
      </c>
      <c r="P19" s="15" t="s">
        <v>186</v>
      </c>
      <c r="Q19" s="3">
        <v>0.12</v>
      </c>
    </row>
    <row r="20" spans="1:17">
      <c r="A20" t="s">
        <v>83</v>
      </c>
      <c r="B20" t="s">
        <v>84</v>
      </c>
      <c r="C20" s="13" t="s">
        <v>155</v>
      </c>
      <c r="D20" s="19">
        <v>300</v>
      </c>
      <c r="E20" s="12">
        <v>0.18</v>
      </c>
      <c r="F20" s="12">
        <v>0.27900000000000003</v>
      </c>
      <c r="G20" t="s">
        <v>45</v>
      </c>
      <c r="H20" s="15" t="s">
        <v>181</v>
      </c>
      <c r="I20" s="3">
        <v>0.28000000000000003</v>
      </c>
      <c r="J20" s="14" t="s">
        <v>184</v>
      </c>
      <c r="K20" s="3">
        <v>0.24</v>
      </c>
      <c r="L20" s="14" t="s">
        <v>179</v>
      </c>
      <c r="M20" s="3">
        <v>0.2</v>
      </c>
      <c r="N20" s="15" t="s">
        <v>182</v>
      </c>
      <c r="O20" s="3">
        <v>0.16</v>
      </c>
      <c r="P20" s="15" t="s">
        <v>186</v>
      </c>
      <c r="Q20" s="3">
        <v>0.12</v>
      </c>
    </row>
    <row r="21" spans="1:17">
      <c r="A21" t="s">
        <v>83</v>
      </c>
      <c r="B21" t="s">
        <v>86</v>
      </c>
      <c r="C21" s="13" t="s">
        <v>156</v>
      </c>
      <c r="D21" s="19">
        <v>700</v>
      </c>
      <c r="E21" s="12">
        <v>0.27</v>
      </c>
      <c r="F21" s="12">
        <v>0.41899999999999998</v>
      </c>
      <c r="G21" t="s">
        <v>65</v>
      </c>
      <c r="H21" s="14" t="s">
        <v>184</v>
      </c>
      <c r="I21" s="3">
        <v>0.3</v>
      </c>
      <c r="J21" s="14" t="s">
        <v>179</v>
      </c>
      <c r="K21" s="3">
        <v>0.24</v>
      </c>
      <c r="L21" s="15" t="s">
        <v>181</v>
      </c>
      <c r="M21" s="3">
        <v>0.19</v>
      </c>
      <c r="N21" s="15" t="s">
        <v>182</v>
      </c>
      <c r="O21" s="3">
        <v>0.15</v>
      </c>
      <c r="P21" s="15" t="s">
        <v>186</v>
      </c>
      <c r="Q21" s="3">
        <v>0.12</v>
      </c>
    </row>
    <row r="22" spans="1:17">
      <c r="A22" t="s">
        <v>83</v>
      </c>
      <c r="B22" t="s">
        <v>88</v>
      </c>
      <c r="C22" s="13" t="s">
        <v>157</v>
      </c>
      <c r="D22" s="19">
        <v>200</v>
      </c>
      <c r="E22" s="12">
        <v>0.16</v>
      </c>
      <c r="F22" s="12">
        <v>0.248</v>
      </c>
      <c r="G22" t="s">
        <v>45</v>
      </c>
      <c r="H22" s="15" t="s">
        <v>181</v>
      </c>
      <c r="I22" s="3">
        <v>0.28000000000000003</v>
      </c>
      <c r="J22" s="14" t="s">
        <v>184</v>
      </c>
      <c r="K22" s="3">
        <v>0.24</v>
      </c>
      <c r="L22" s="14" t="s">
        <v>179</v>
      </c>
      <c r="M22" s="3">
        <v>0.2</v>
      </c>
      <c r="N22" s="15" t="s">
        <v>182</v>
      </c>
      <c r="O22" s="3">
        <v>0.16</v>
      </c>
      <c r="P22" s="15" t="s">
        <v>186</v>
      </c>
      <c r="Q22" s="3">
        <v>0.12</v>
      </c>
    </row>
    <row r="23" spans="1:17">
      <c r="A23" t="s">
        <v>83</v>
      </c>
      <c r="B23" t="s">
        <v>90</v>
      </c>
      <c r="C23" s="13" t="s">
        <v>158</v>
      </c>
      <c r="D23" s="19">
        <v>400</v>
      </c>
      <c r="E23" s="12">
        <v>0.22</v>
      </c>
      <c r="F23" s="12">
        <v>0.34100000000000003</v>
      </c>
      <c r="G23" t="s">
        <v>45</v>
      </c>
      <c r="H23" s="15" t="s">
        <v>181</v>
      </c>
      <c r="I23" s="3">
        <v>0.28000000000000003</v>
      </c>
      <c r="J23" s="14" t="s">
        <v>184</v>
      </c>
      <c r="K23" s="3">
        <v>0.24</v>
      </c>
      <c r="L23" s="14" t="s">
        <v>179</v>
      </c>
      <c r="M23" s="3">
        <v>0.2</v>
      </c>
      <c r="N23" s="15" t="s">
        <v>182</v>
      </c>
      <c r="O23" s="3">
        <v>0.16</v>
      </c>
      <c r="P23" s="15" t="s">
        <v>186</v>
      </c>
      <c r="Q23" s="3">
        <v>0.12</v>
      </c>
    </row>
    <row r="24" spans="1:17">
      <c r="A24" t="s">
        <v>83</v>
      </c>
      <c r="B24" t="s">
        <v>92</v>
      </c>
      <c r="C24" s="13" t="s">
        <v>159</v>
      </c>
      <c r="D24" s="19">
        <v>300</v>
      </c>
      <c r="E24" s="12">
        <v>0.18</v>
      </c>
      <c r="F24" s="12">
        <v>0.27900000000000003</v>
      </c>
      <c r="G24" t="s">
        <v>45</v>
      </c>
      <c r="H24" s="15" t="s">
        <v>181</v>
      </c>
      <c r="I24" s="3">
        <v>0.28000000000000003</v>
      </c>
      <c r="J24" s="14" t="s">
        <v>184</v>
      </c>
      <c r="K24" s="3">
        <v>0.24</v>
      </c>
      <c r="L24" s="14" t="s">
        <v>179</v>
      </c>
      <c r="M24" s="3">
        <v>0.2</v>
      </c>
      <c r="N24" s="15" t="s">
        <v>182</v>
      </c>
      <c r="O24" s="3">
        <v>0.16</v>
      </c>
      <c r="P24" s="15" t="s">
        <v>186</v>
      </c>
      <c r="Q24" s="3">
        <v>0.12</v>
      </c>
    </row>
    <row r="25" spans="1:17">
      <c r="A25" t="s">
        <v>83</v>
      </c>
      <c r="B25" t="s">
        <v>83</v>
      </c>
      <c r="C25" s="13" t="s">
        <v>160</v>
      </c>
      <c r="D25" s="19">
        <v>500</v>
      </c>
      <c r="E25" s="12">
        <v>0.22</v>
      </c>
      <c r="F25" s="12">
        <v>0.34100000000000003</v>
      </c>
      <c r="G25" t="s">
        <v>45</v>
      </c>
      <c r="H25" s="15" t="s">
        <v>181</v>
      </c>
      <c r="I25" s="3">
        <v>0.28000000000000003</v>
      </c>
      <c r="J25" s="14" t="s">
        <v>184</v>
      </c>
      <c r="K25" s="3">
        <v>0.24</v>
      </c>
      <c r="L25" s="14" t="s">
        <v>179</v>
      </c>
      <c r="M25" s="3">
        <v>0.2</v>
      </c>
      <c r="N25" s="15" t="s">
        <v>182</v>
      </c>
      <c r="O25" s="3">
        <v>0.16</v>
      </c>
      <c r="P25" s="15" t="s">
        <v>186</v>
      </c>
      <c r="Q25" s="3">
        <v>0.12</v>
      </c>
    </row>
    <row r="26" spans="1:17">
      <c r="A26" t="s">
        <v>83</v>
      </c>
      <c r="B26" t="s">
        <v>95</v>
      </c>
      <c r="C26" s="13" t="s">
        <v>161</v>
      </c>
      <c r="D26" s="19">
        <v>350</v>
      </c>
      <c r="E26" s="12">
        <v>0.19</v>
      </c>
      <c r="F26" s="12">
        <v>0.29499999999999998</v>
      </c>
      <c r="G26" t="s">
        <v>45</v>
      </c>
      <c r="H26" s="15" t="s">
        <v>181</v>
      </c>
      <c r="I26" s="3">
        <v>0.28000000000000003</v>
      </c>
      <c r="J26" s="14" t="s">
        <v>184</v>
      </c>
      <c r="K26" s="3">
        <v>0.24</v>
      </c>
      <c r="L26" s="14" t="s">
        <v>179</v>
      </c>
      <c r="M26" s="3">
        <v>0.2</v>
      </c>
      <c r="N26" s="15" t="s">
        <v>182</v>
      </c>
      <c r="O26" s="3">
        <v>0.16</v>
      </c>
      <c r="P26" s="15" t="s">
        <v>186</v>
      </c>
      <c r="Q26" s="3">
        <v>0.12</v>
      </c>
    </row>
    <row r="27" spans="1:17">
      <c r="A27" t="s">
        <v>83</v>
      </c>
      <c r="B27" t="s">
        <v>97</v>
      </c>
      <c r="C27" s="13" t="s">
        <v>162</v>
      </c>
      <c r="D27" s="19">
        <v>300</v>
      </c>
      <c r="E27" s="12">
        <v>0.18</v>
      </c>
      <c r="F27" s="12">
        <v>0.27900000000000003</v>
      </c>
      <c r="G27" t="s">
        <v>45</v>
      </c>
      <c r="H27" s="15" t="s">
        <v>181</v>
      </c>
      <c r="I27" s="3">
        <v>0.28000000000000003</v>
      </c>
      <c r="J27" s="14" t="s">
        <v>184</v>
      </c>
      <c r="K27" s="3">
        <v>0.24</v>
      </c>
      <c r="L27" s="14" t="s">
        <v>179</v>
      </c>
      <c r="M27" s="3">
        <v>0.2</v>
      </c>
      <c r="N27" s="15" t="s">
        <v>182</v>
      </c>
      <c r="O27" s="3">
        <v>0.16</v>
      </c>
      <c r="P27" s="15" t="s">
        <v>186</v>
      </c>
      <c r="Q27" s="3">
        <v>0.12</v>
      </c>
    </row>
    <row r="28" spans="1:17">
      <c r="A28" t="s">
        <v>99</v>
      </c>
      <c r="B28" t="s">
        <v>100</v>
      </c>
      <c r="C28" s="13" t="s">
        <v>163</v>
      </c>
      <c r="D28" s="19">
        <v>250</v>
      </c>
      <c r="E28" s="12">
        <v>0.16</v>
      </c>
      <c r="F28" s="12">
        <v>0.248</v>
      </c>
      <c r="G28" t="s">
        <v>45</v>
      </c>
      <c r="H28" s="15" t="s">
        <v>185</v>
      </c>
      <c r="I28" s="3">
        <v>0.28000000000000003</v>
      </c>
      <c r="J28" s="14" t="s">
        <v>178</v>
      </c>
      <c r="K28" s="3">
        <v>0.24</v>
      </c>
      <c r="L28" s="14" t="s">
        <v>179</v>
      </c>
      <c r="M28" s="3">
        <v>0.2</v>
      </c>
      <c r="N28" s="15" t="s">
        <v>187</v>
      </c>
      <c r="O28" s="3">
        <v>0.16</v>
      </c>
      <c r="P28" s="15" t="s">
        <v>183</v>
      </c>
      <c r="Q28" s="3">
        <v>0.12</v>
      </c>
    </row>
    <row r="29" spans="1:17">
      <c r="A29" t="s">
        <v>99</v>
      </c>
      <c r="B29" t="s">
        <v>99</v>
      </c>
      <c r="C29" s="13" t="s">
        <v>164</v>
      </c>
      <c r="D29" s="19">
        <v>200</v>
      </c>
      <c r="E29" s="12">
        <v>0.15</v>
      </c>
      <c r="F29" s="12">
        <v>0.23300000000000001</v>
      </c>
      <c r="G29" t="s">
        <v>45</v>
      </c>
      <c r="H29" s="15" t="s">
        <v>185</v>
      </c>
      <c r="I29" s="3">
        <v>0.28000000000000003</v>
      </c>
      <c r="J29" s="14" t="s">
        <v>178</v>
      </c>
      <c r="K29" s="3">
        <v>0.24</v>
      </c>
      <c r="L29" s="14" t="s">
        <v>179</v>
      </c>
      <c r="M29" s="3">
        <v>0.2</v>
      </c>
      <c r="N29" s="15" t="s">
        <v>187</v>
      </c>
      <c r="O29" s="3">
        <v>0.16</v>
      </c>
      <c r="P29" s="15" t="s">
        <v>183</v>
      </c>
      <c r="Q29" s="3">
        <v>0.12</v>
      </c>
    </row>
    <row r="30" spans="1:17">
      <c r="A30" t="s">
        <v>99</v>
      </c>
      <c r="B30" t="s">
        <v>103</v>
      </c>
      <c r="C30" s="13" t="s">
        <v>165</v>
      </c>
      <c r="D30" s="19">
        <v>800</v>
      </c>
      <c r="E30" s="12">
        <v>0.22</v>
      </c>
      <c r="F30" s="12">
        <v>0.34100000000000003</v>
      </c>
      <c r="G30" t="s">
        <v>45</v>
      </c>
      <c r="H30" s="15" t="s">
        <v>185</v>
      </c>
      <c r="I30" s="3">
        <v>0.28000000000000003</v>
      </c>
      <c r="J30" s="14" t="s">
        <v>178</v>
      </c>
      <c r="K30" s="3">
        <v>0.24</v>
      </c>
      <c r="L30" s="14" t="s">
        <v>179</v>
      </c>
      <c r="M30" s="3">
        <v>0.2</v>
      </c>
      <c r="N30" s="15" t="s">
        <v>187</v>
      </c>
      <c r="O30" s="3">
        <v>0.16</v>
      </c>
      <c r="P30" s="15" t="s">
        <v>183</v>
      </c>
      <c r="Q30" s="3">
        <v>0.12</v>
      </c>
    </row>
    <row r="31" spans="1:17">
      <c r="A31" t="s">
        <v>99</v>
      </c>
      <c r="B31" t="s">
        <v>105</v>
      </c>
      <c r="C31" s="13" t="s">
        <v>166</v>
      </c>
      <c r="D31" s="19">
        <v>1400</v>
      </c>
      <c r="E31" s="12">
        <v>0.26</v>
      </c>
      <c r="F31" s="12">
        <v>0.40300000000000002</v>
      </c>
      <c r="G31" t="s">
        <v>65</v>
      </c>
      <c r="H31" s="14" t="s">
        <v>178</v>
      </c>
      <c r="I31" s="3">
        <v>0.3</v>
      </c>
      <c r="J31" s="14" t="s">
        <v>179</v>
      </c>
      <c r="K31" s="3">
        <v>0.24</v>
      </c>
      <c r="L31" s="15" t="s">
        <v>185</v>
      </c>
      <c r="M31" s="3">
        <v>0.19</v>
      </c>
      <c r="N31" s="15" t="s">
        <v>187</v>
      </c>
      <c r="O31" s="3">
        <v>0.15</v>
      </c>
      <c r="P31" s="15" t="s">
        <v>183</v>
      </c>
      <c r="Q31" s="3">
        <v>0.12</v>
      </c>
    </row>
    <row r="32" spans="1:17">
      <c r="A32" t="s">
        <v>122</v>
      </c>
      <c r="B32" t="s">
        <v>122</v>
      </c>
      <c r="C32" s="13" t="s">
        <v>167</v>
      </c>
      <c r="D32" s="19">
        <v>3800</v>
      </c>
      <c r="E32" s="12">
        <v>0.34</v>
      </c>
      <c r="F32" s="12">
        <v>0.52700000000000002</v>
      </c>
      <c r="G32" t="s">
        <v>65</v>
      </c>
      <c r="H32" s="14" t="s">
        <v>184</v>
      </c>
      <c r="I32" s="3">
        <v>0.3</v>
      </c>
      <c r="J32" s="14" t="s">
        <v>179</v>
      </c>
      <c r="K32" s="3">
        <v>0.24</v>
      </c>
      <c r="L32" s="15" t="s">
        <v>181</v>
      </c>
      <c r="M32" s="3">
        <v>0.19</v>
      </c>
      <c r="N32" s="15" t="s">
        <v>180</v>
      </c>
      <c r="O32" s="3">
        <v>0.15</v>
      </c>
      <c r="P32" s="15" t="s">
        <v>186</v>
      </c>
      <c r="Q32" s="3">
        <v>0.12</v>
      </c>
    </row>
    <row r="33" spans="1:17">
      <c r="A33" t="s">
        <v>122</v>
      </c>
      <c r="B33" t="s">
        <v>124</v>
      </c>
      <c r="C33" s="13" t="s">
        <v>168</v>
      </c>
      <c r="D33" s="19">
        <v>700</v>
      </c>
      <c r="E33" s="12">
        <v>0.23</v>
      </c>
      <c r="F33" s="12">
        <v>0.35699999999999998</v>
      </c>
      <c r="G33" t="s">
        <v>65</v>
      </c>
      <c r="H33" s="14" t="s">
        <v>184</v>
      </c>
      <c r="I33" s="3">
        <v>0.3</v>
      </c>
      <c r="J33" s="14" t="s">
        <v>179</v>
      </c>
      <c r="K33" s="3">
        <v>0.24</v>
      </c>
      <c r="L33" s="15" t="s">
        <v>181</v>
      </c>
      <c r="M33" s="3">
        <v>0.19</v>
      </c>
      <c r="N33" s="15" t="s">
        <v>180</v>
      </c>
      <c r="O33" s="3">
        <v>0.15</v>
      </c>
      <c r="P33" s="15" t="s">
        <v>186</v>
      </c>
      <c r="Q33" s="3">
        <v>0.12</v>
      </c>
    </row>
    <row r="34" spans="1:17">
      <c r="A34" t="s">
        <v>122</v>
      </c>
      <c r="B34" t="s">
        <v>126</v>
      </c>
      <c r="C34" s="13" t="s">
        <v>169</v>
      </c>
      <c r="D34" s="19">
        <v>500</v>
      </c>
      <c r="E34" s="12">
        <v>0.21</v>
      </c>
      <c r="F34" s="12">
        <v>0.32600000000000001</v>
      </c>
      <c r="G34" t="s">
        <v>45</v>
      </c>
      <c r="H34" s="15" t="s">
        <v>181</v>
      </c>
      <c r="I34" s="3">
        <v>0.28000000000000003</v>
      </c>
      <c r="J34" s="14" t="s">
        <v>184</v>
      </c>
      <c r="K34" s="3">
        <v>0.24</v>
      </c>
      <c r="L34" s="14" t="s">
        <v>179</v>
      </c>
      <c r="M34" s="3">
        <v>0.2</v>
      </c>
      <c r="N34" s="15" t="s">
        <v>180</v>
      </c>
      <c r="O34" s="3">
        <v>0.16</v>
      </c>
      <c r="P34" s="15" t="s">
        <v>186</v>
      </c>
      <c r="Q34" s="3">
        <v>0.12</v>
      </c>
    </row>
    <row r="35" spans="1:17">
      <c r="A35" t="s">
        <v>122</v>
      </c>
      <c r="B35" t="s">
        <v>128</v>
      </c>
      <c r="C35" s="13" t="s">
        <v>170</v>
      </c>
      <c r="D35" s="19">
        <v>300</v>
      </c>
      <c r="E35" s="12">
        <v>0.18</v>
      </c>
      <c r="F35" s="12">
        <v>0.27900000000000003</v>
      </c>
      <c r="G35" t="s">
        <v>45</v>
      </c>
      <c r="H35" s="15" t="s">
        <v>181</v>
      </c>
      <c r="I35" s="3">
        <v>0.28000000000000003</v>
      </c>
      <c r="J35" s="14" t="s">
        <v>184</v>
      </c>
      <c r="K35" s="3">
        <v>0.24</v>
      </c>
      <c r="L35" s="14" t="s">
        <v>179</v>
      </c>
      <c r="M35" s="3">
        <v>0.2</v>
      </c>
      <c r="N35" s="15" t="s">
        <v>180</v>
      </c>
      <c r="O35" s="3">
        <v>0.16</v>
      </c>
      <c r="P35" s="15" t="s">
        <v>186</v>
      </c>
      <c r="Q35" s="3">
        <v>0.12</v>
      </c>
    </row>
  </sheetData>
  <pageMargins left="0.7" right="0.7" top="0.75" bottom="0.75" header="0.3" footer="0.3"/>
  <headerFooter>
    <oddFooter>&amp;R_x000D_&amp;1#&amp;"Aptos"&amp;22&amp;KFF8939 RESTRICTED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C2EA-F5F1-4362-8984-F4CDE99C40C1}">
  <dimension ref="A1:S17"/>
  <sheetViews>
    <sheetView topLeftCell="E1" workbookViewId="0">
      <selection activeCell="K9" sqref="K9"/>
    </sheetView>
  </sheetViews>
  <sheetFormatPr defaultRowHeight="14.5"/>
  <cols>
    <col min="1" max="1" width="12.90625" bestFit="1" customWidth="1"/>
    <col min="2" max="2" width="14.453125" bestFit="1" customWidth="1"/>
    <col min="3" max="3" width="36.36328125" customWidth="1"/>
    <col min="4" max="4" width="10.81640625" bestFit="1" customWidth="1"/>
    <col min="5" max="6" width="11.90625" bestFit="1" customWidth="1"/>
    <col min="7" max="7" width="8.7265625" bestFit="1" customWidth="1"/>
    <col min="8" max="19" width="7.54296875" bestFit="1" customWidth="1"/>
  </cols>
  <sheetData>
    <row r="1" spans="1:19" ht="84">
      <c r="A1" s="20" t="s">
        <v>24</v>
      </c>
      <c r="B1" s="20" t="s">
        <v>25</v>
      </c>
      <c r="C1" s="20" t="s">
        <v>189</v>
      </c>
      <c r="D1" s="20" t="s">
        <v>190</v>
      </c>
      <c r="E1" s="20" t="s">
        <v>191</v>
      </c>
      <c r="F1" s="20" t="s">
        <v>192</v>
      </c>
      <c r="G1" s="20" t="s">
        <v>30</v>
      </c>
      <c r="H1" s="20" t="s">
        <v>31</v>
      </c>
      <c r="I1" s="20" t="s">
        <v>175</v>
      </c>
      <c r="J1" s="20" t="s">
        <v>33</v>
      </c>
      <c r="K1" s="20" t="s">
        <v>34</v>
      </c>
      <c r="L1" s="20" t="s">
        <v>35</v>
      </c>
      <c r="M1" s="20" t="s">
        <v>176</v>
      </c>
      <c r="N1" s="20" t="s">
        <v>37</v>
      </c>
      <c r="O1" s="20" t="s">
        <v>177</v>
      </c>
      <c r="P1" s="20" t="s">
        <v>39</v>
      </c>
      <c r="Q1" s="20" t="s">
        <v>40</v>
      </c>
      <c r="R1" s="20" t="s">
        <v>41</v>
      </c>
      <c r="S1" s="20" t="s">
        <v>42</v>
      </c>
    </row>
    <row r="2" spans="1:19" ht="15" thickBot="1">
      <c r="A2" s="2" t="s">
        <v>43</v>
      </c>
      <c r="B2" s="2" t="s">
        <v>43</v>
      </c>
      <c r="C2" s="8" t="s">
        <v>205</v>
      </c>
      <c r="D2" s="9">
        <v>2528</v>
      </c>
      <c r="E2" s="17">
        <v>0.42</v>
      </c>
      <c r="F2" s="17">
        <f t="shared" ref="F2:F12" si="0">MIN(100%,ROUND(E2*1.65,3))</f>
        <v>0.69299999999999995</v>
      </c>
      <c r="G2" s="2" t="str">
        <f t="shared" ref="G2:G12" si="1">IF(F2&gt;35%,"Tinggi",IF(F2&gt;=20%,"Sedang","Rendah"))</f>
        <v>Tinggi</v>
      </c>
      <c r="H2" s="17">
        <f t="shared" ref="H2:H12" si="2">MIN(100%,ROUND($E2*1.25,3))</f>
        <v>0.52500000000000002</v>
      </c>
      <c r="I2" s="17">
        <f t="shared" ref="I2:I12" si="3">MIN(100%,ROUND($E2*1.3,3))</f>
        <v>0.54600000000000004</v>
      </c>
      <c r="J2" s="17">
        <f t="shared" ref="J2:J12" si="4">MIN(100%,ROUND($E2*1.2,3))</f>
        <v>0.504</v>
      </c>
      <c r="K2" s="17">
        <f t="shared" ref="K2:K12" si="5">MIN(100%,ROUND($E2*1,3))</f>
        <v>0.42</v>
      </c>
      <c r="L2" s="17">
        <f t="shared" ref="L2:L12" si="6">MIN(100%,ROUND($E2*0.75,3))</f>
        <v>0.315</v>
      </c>
      <c r="M2" s="17">
        <f t="shared" ref="M2:M12" si="7">MIN(100%,ROUND($E2*0.55,3))</f>
        <v>0.23100000000000001</v>
      </c>
      <c r="N2" s="17">
        <f t="shared" ref="N2:O8" si="8">MIN(100%,ROUND($E2*0.45,3))</f>
        <v>0.189</v>
      </c>
      <c r="O2" s="17">
        <f t="shared" si="8"/>
        <v>0.189</v>
      </c>
      <c r="P2" s="17">
        <f t="shared" ref="P2:P12" si="9">MIN(100%,ROUND($E2*0.6,3))</f>
        <v>0.252</v>
      </c>
      <c r="Q2" s="17">
        <f t="shared" ref="Q2:Q12" si="10">MIN(100%,ROUND($E2*0.85,3))</f>
        <v>0.35699999999999998</v>
      </c>
      <c r="R2" s="17">
        <f t="shared" ref="R2:R12" si="11">MIN(100%,ROUND($E2*1.1,3))</f>
        <v>0.46200000000000002</v>
      </c>
      <c r="S2" s="17">
        <f t="shared" ref="S2:S12" si="12">MIN(100%,ROUND($E2*1.25,3))</f>
        <v>0.52500000000000002</v>
      </c>
    </row>
    <row r="3" spans="1:19" ht="15" thickBot="1">
      <c r="A3" s="6" t="s">
        <v>43</v>
      </c>
      <c r="B3" s="6" t="s">
        <v>46</v>
      </c>
      <c r="C3" s="7" t="s">
        <v>206</v>
      </c>
      <c r="D3" s="10">
        <v>299</v>
      </c>
      <c r="E3" s="18">
        <v>0.42</v>
      </c>
      <c r="F3" s="18">
        <f t="shared" si="0"/>
        <v>0.69299999999999995</v>
      </c>
      <c r="G3" s="6" t="str">
        <f t="shared" si="1"/>
        <v>Tinggi</v>
      </c>
      <c r="H3" s="18">
        <f t="shared" si="2"/>
        <v>0.52500000000000002</v>
      </c>
      <c r="I3" s="18">
        <f t="shared" si="3"/>
        <v>0.54600000000000004</v>
      </c>
      <c r="J3" s="18">
        <f t="shared" si="4"/>
        <v>0.504</v>
      </c>
      <c r="K3" s="18">
        <f t="shared" si="5"/>
        <v>0.42</v>
      </c>
      <c r="L3" s="18">
        <f t="shared" si="6"/>
        <v>0.315</v>
      </c>
      <c r="M3" s="18">
        <f t="shared" si="7"/>
        <v>0.23100000000000001</v>
      </c>
      <c r="N3" s="18">
        <f t="shared" si="8"/>
        <v>0.189</v>
      </c>
      <c r="O3" s="18">
        <f t="shared" si="8"/>
        <v>0.189</v>
      </c>
      <c r="P3" s="18">
        <f t="shared" si="9"/>
        <v>0.252</v>
      </c>
      <c r="Q3" s="18">
        <f t="shared" si="10"/>
        <v>0.35699999999999998</v>
      </c>
      <c r="R3" s="18">
        <f t="shared" si="11"/>
        <v>0.46200000000000002</v>
      </c>
      <c r="S3" s="18">
        <f t="shared" si="12"/>
        <v>0.52500000000000002</v>
      </c>
    </row>
    <row r="4" spans="1:19" ht="15" thickBot="1">
      <c r="A4" s="6" t="s">
        <v>43</v>
      </c>
      <c r="B4" s="6" t="s">
        <v>48</v>
      </c>
      <c r="C4" s="7" t="s">
        <v>193</v>
      </c>
      <c r="D4" s="10">
        <v>370</v>
      </c>
      <c r="E4" s="18">
        <v>0.42</v>
      </c>
      <c r="F4" s="18">
        <f t="shared" si="0"/>
        <v>0.69299999999999995</v>
      </c>
      <c r="G4" s="6" t="str">
        <f t="shared" si="1"/>
        <v>Tinggi</v>
      </c>
      <c r="H4" s="18">
        <f t="shared" si="2"/>
        <v>0.52500000000000002</v>
      </c>
      <c r="I4" s="18">
        <f t="shared" si="3"/>
        <v>0.54600000000000004</v>
      </c>
      <c r="J4" s="18">
        <f t="shared" si="4"/>
        <v>0.504</v>
      </c>
      <c r="K4" s="18">
        <f t="shared" si="5"/>
        <v>0.42</v>
      </c>
      <c r="L4" s="18">
        <f t="shared" si="6"/>
        <v>0.315</v>
      </c>
      <c r="M4" s="18">
        <f t="shared" si="7"/>
        <v>0.23100000000000001</v>
      </c>
      <c r="N4" s="18">
        <f t="shared" si="8"/>
        <v>0.189</v>
      </c>
      <c r="O4" s="18">
        <f t="shared" si="8"/>
        <v>0.189</v>
      </c>
      <c r="P4" s="18">
        <f t="shared" si="9"/>
        <v>0.252</v>
      </c>
      <c r="Q4" s="18">
        <f t="shared" si="10"/>
        <v>0.35699999999999998</v>
      </c>
      <c r="R4" s="18">
        <f t="shared" si="11"/>
        <v>0.46200000000000002</v>
      </c>
      <c r="S4" s="18">
        <f t="shared" si="12"/>
        <v>0.52500000000000002</v>
      </c>
    </row>
    <row r="5" spans="1:19" ht="15" thickBot="1">
      <c r="A5" s="6" t="s">
        <v>51</v>
      </c>
      <c r="B5" s="6" t="s">
        <v>52</v>
      </c>
      <c r="C5" s="7" t="s">
        <v>194</v>
      </c>
      <c r="D5" s="10">
        <v>159</v>
      </c>
      <c r="E5" s="18">
        <v>0.42</v>
      </c>
      <c r="F5" s="18">
        <f t="shared" si="0"/>
        <v>0.69299999999999995</v>
      </c>
      <c r="G5" s="6" t="str">
        <f t="shared" si="1"/>
        <v>Tinggi</v>
      </c>
      <c r="H5" s="18">
        <f t="shared" si="2"/>
        <v>0.52500000000000002</v>
      </c>
      <c r="I5" s="18">
        <f t="shared" si="3"/>
        <v>0.54600000000000004</v>
      </c>
      <c r="J5" s="18">
        <f t="shared" si="4"/>
        <v>0.504</v>
      </c>
      <c r="K5" s="18">
        <f t="shared" si="5"/>
        <v>0.42</v>
      </c>
      <c r="L5" s="18">
        <f t="shared" si="6"/>
        <v>0.315</v>
      </c>
      <c r="M5" s="18">
        <f t="shared" si="7"/>
        <v>0.23100000000000001</v>
      </c>
      <c r="N5" s="18">
        <f t="shared" si="8"/>
        <v>0.189</v>
      </c>
      <c r="O5" s="18">
        <f t="shared" si="8"/>
        <v>0.189</v>
      </c>
      <c r="P5" s="18">
        <f t="shared" si="9"/>
        <v>0.252</v>
      </c>
      <c r="Q5" s="18">
        <f t="shared" si="10"/>
        <v>0.35699999999999998</v>
      </c>
      <c r="R5" s="18">
        <f t="shared" si="11"/>
        <v>0.46200000000000002</v>
      </c>
      <c r="S5" s="18">
        <f t="shared" si="12"/>
        <v>0.52500000000000002</v>
      </c>
    </row>
    <row r="6" spans="1:19" ht="28.5" thickBot="1">
      <c r="A6" s="6" t="s">
        <v>51</v>
      </c>
      <c r="B6" s="6" t="s">
        <v>51</v>
      </c>
      <c r="C6" s="7" t="s">
        <v>195</v>
      </c>
      <c r="D6" s="10">
        <v>697</v>
      </c>
      <c r="E6" s="18">
        <v>0.42</v>
      </c>
      <c r="F6" s="18">
        <f t="shared" si="0"/>
        <v>0.69299999999999995</v>
      </c>
      <c r="G6" s="6" t="str">
        <f t="shared" si="1"/>
        <v>Tinggi</v>
      </c>
      <c r="H6" s="18">
        <f t="shared" si="2"/>
        <v>0.52500000000000002</v>
      </c>
      <c r="I6" s="18">
        <f t="shared" si="3"/>
        <v>0.54600000000000004</v>
      </c>
      <c r="J6" s="18">
        <f t="shared" si="4"/>
        <v>0.504</v>
      </c>
      <c r="K6" s="18">
        <f t="shared" si="5"/>
        <v>0.42</v>
      </c>
      <c r="L6" s="18">
        <f t="shared" si="6"/>
        <v>0.315</v>
      </c>
      <c r="M6" s="18">
        <f t="shared" si="7"/>
        <v>0.23100000000000001</v>
      </c>
      <c r="N6" s="18">
        <f t="shared" si="8"/>
        <v>0.189</v>
      </c>
      <c r="O6" s="18">
        <f t="shared" si="8"/>
        <v>0.189</v>
      </c>
      <c r="P6" s="18">
        <f t="shared" si="9"/>
        <v>0.252</v>
      </c>
      <c r="Q6" s="18">
        <f t="shared" si="10"/>
        <v>0.35699999999999998</v>
      </c>
      <c r="R6" s="18">
        <f t="shared" si="11"/>
        <v>0.46200000000000002</v>
      </c>
      <c r="S6" s="18">
        <f t="shared" si="12"/>
        <v>0.52500000000000002</v>
      </c>
    </row>
    <row r="7" spans="1:19" ht="15" thickBot="1">
      <c r="A7" s="6" t="s">
        <v>51</v>
      </c>
      <c r="B7" s="6" t="s">
        <v>55</v>
      </c>
      <c r="C7" s="7" t="s">
        <v>196</v>
      </c>
      <c r="D7" s="10">
        <v>2350</v>
      </c>
      <c r="E7" s="18">
        <v>0.42</v>
      </c>
      <c r="F7" s="18">
        <f t="shared" si="0"/>
        <v>0.69299999999999995</v>
      </c>
      <c r="G7" s="6" t="str">
        <f t="shared" si="1"/>
        <v>Tinggi</v>
      </c>
      <c r="H7" s="18">
        <f t="shared" si="2"/>
        <v>0.52500000000000002</v>
      </c>
      <c r="I7" s="18">
        <f t="shared" si="3"/>
        <v>0.54600000000000004</v>
      </c>
      <c r="J7" s="18">
        <f t="shared" si="4"/>
        <v>0.504</v>
      </c>
      <c r="K7" s="18">
        <f t="shared" si="5"/>
        <v>0.42</v>
      </c>
      <c r="L7" s="18">
        <f t="shared" si="6"/>
        <v>0.315</v>
      </c>
      <c r="M7" s="18">
        <f t="shared" si="7"/>
        <v>0.23100000000000001</v>
      </c>
      <c r="N7" s="18">
        <f t="shared" si="8"/>
        <v>0.189</v>
      </c>
      <c r="O7" s="18">
        <f t="shared" si="8"/>
        <v>0.189</v>
      </c>
      <c r="P7" s="18">
        <f t="shared" si="9"/>
        <v>0.252</v>
      </c>
      <c r="Q7" s="18">
        <f t="shared" si="10"/>
        <v>0.35699999999999998</v>
      </c>
      <c r="R7" s="18">
        <f t="shared" si="11"/>
        <v>0.46200000000000002</v>
      </c>
      <c r="S7" s="18">
        <f t="shared" si="12"/>
        <v>0.52500000000000002</v>
      </c>
    </row>
    <row r="8" spans="1:19" ht="15" thickBot="1">
      <c r="A8" s="6" t="s">
        <v>59</v>
      </c>
      <c r="B8" s="6" t="s">
        <v>59</v>
      </c>
      <c r="C8" s="7" t="s">
        <v>197</v>
      </c>
      <c r="D8" s="10">
        <v>101</v>
      </c>
      <c r="E8" s="18">
        <v>0.42</v>
      </c>
      <c r="F8" s="18">
        <f t="shared" si="0"/>
        <v>0.69299999999999995</v>
      </c>
      <c r="G8" s="6" t="str">
        <f t="shared" si="1"/>
        <v>Tinggi</v>
      </c>
      <c r="H8" s="18">
        <f t="shared" si="2"/>
        <v>0.52500000000000002</v>
      </c>
      <c r="I8" s="18">
        <f t="shared" si="3"/>
        <v>0.54600000000000004</v>
      </c>
      <c r="J8" s="18">
        <f t="shared" si="4"/>
        <v>0.504</v>
      </c>
      <c r="K8" s="18">
        <f t="shared" si="5"/>
        <v>0.42</v>
      </c>
      <c r="L8" s="18">
        <f t="shared" si="6"/>
        <v>0.315</v>
      </c>
      <c r="M8" s="18">
        <f t="shared" si="7"/>
        <v>0.23100000000000001</v>
      </c>
      <c r="N8" s="18">
        <f t="shared" si="8"/>
        <v>0.189</v>
      </c>
      <c r="O8" s="18">
        <f t="shared" si="8"/>
        <v>0.189</v>
      </c>
      <c r="P8" s="18">
        <f t="shared" si="9"/>
        <v>0.252</v>
      </c>
      <c r="Q8" s="18">
        <f t="shared" si="10"/>
        <v>0.35699999999999998</v>
      </c>
      <c r="R8" s="18">
        <f t="shared" si="11"/>
        <v>0.46200000000000002</v>
      </c>
      <c r="S8" s="18">
        <f t="shared" si="12"/>
        <v>0.52500000000000002</v>
      </c>
    </row>
    <row r="9" spans="1:19" ht="28.5" thickBot="1">
      <c r="A9" s="6" t="s">
        <v>99</v>
      </c>
      <c r="B9" s="6" t="s">
        <v>100</v>
      </c>
      <c r="C9" s="7" t="s">
        <v>207</v>
      </c>
      <c r="D9" s="10">
        <v>4411</v>
      </c>
      <c r="E9" s="18">
        <v>0.42</v>
      </c>
      <c r="F9" s="18">
        <f t="shared" si="0"/>
        <v>0.69299999999999995</v>
      </c>
      <c r="G9" s="6" t="str">
        <f t="shared" si="1"/>
        <v>Tinggi</v>
      </c>
      <c r="H9" s="18">
        <f t="shared" si="2"/>
        <v>0.52500000000000002</v>
      </c>
      <c r="I9" s="18">
        <f t="shared" si="3"/>
        <v>0.54600000000000004</v>
      </c>
      <c r="J9" s="18">
        <f t="shared" si="4"/>
        <v>0.504</v>
      </c>
      <c r="K9" s="18">
        <f t="shared" si="5"/>
        <v>0.42</v>
      </c>
      <c r="L9" s="18">
        <f t="shared" si="6"/>
        <v>0.315</v>
      </c>
      <c r="M9" s="18">
        <f t="shared" si="7"/>
        <v>0.23100000000000001</v>
      </c>
      <c r="N9" s="18">
        <f t="shared" ref="N9:O12" si="13">MIN(100%,ROUND($E9*0.45,3))</f>
        <v>0.189</v>
      </c>
      <c r="O9" s="18">
        <f t="shared" si="13"/>
        <v>0.189</v>
      </c>
      <c r="P9" s="18">
        <f t="shared" si="9"/>
        <v>0.252</v>
      </c>
      <c r="Q9" s="18">
        <f t="shared" si="10"/>
        <v>0.35699999999999998</v>
      </c>
      <c r="R9" s="18">
        <f t="shared" si="11"/>
        <v>0.46200000000000002</v>
      </c>
      <c r="S9" s="18">
        <f t="shared" si="12"/>
        <v>0.52500000000000002</v>
      </c>
    </row>
    <row r="10" spans="1:19" ht="28.5" thickBot="1">
      <c r="A10" s="6" t="s">
        <v>99</v>
      </c>
      <c r="B10" s="6" t="s">
        <v>99</v>
      </c>
      <c r="C10" s="7" t="s">
        <v>208</v>
      </c>
      <c r="D10" s="10">
        <v>3461</v>
      </c>
      <c r="E10" s="18">
        <v>0.42</v>
      </c>
      <c r="F10" s="18">
        <f t="shared" si="0"/>
        <v>0.69299999999999995</v>
      </c>
      <c r="G10" s="6" t="str">
        <f t="shared" si="1"/>
        <v>Tinggi</v>
      </c>
      <c r="H10" s="18">
        <f t="shared" si="2"/>
        <v>0.52500000000000002</v>
      </c>
      <c r="I10" s="18">
        <f t="shared" si="3"/>
        <v>0.54600000000000004</v>
      </c>
      <c r="J10" s="18">
        <f t="shared" si="4"/>
        <v>0.504</v>
      </c>
      <c r="K10" s="18">
        <f t="shared" si="5"/>
        <v>0.42</v>
      </c>
      <c r="L10" s="18">
        <f t="shared" si="6"/>
        <v>0.315</v>
      </c>
      <c r="M10" s="18">
        <f t="shared" si="7"/>
        <v>0.23100000000000001</v>
      </c>
      <c r="N10" s="18">
        <f t="shared" si="13"/>
        <v>0.189</v>
      </c>
      <c r="O10" s="18">
        <f t="shared" si="13"/>
        <v>0.189</v>
      </c>
      <c r="P10" s="18">
        <f t="shared" si="9"/>
        <v>0.252</v>
      </c>
      <c r="Q10" s="18">
        <f t="shared" si="10"/>
        <v>0.35699999999999998</v>
      </c>
      <c r="R10" s="18">
        <f t="shared" si="11"/>
        <v>0.46200000000000002</v>
      </c>
      <c r="S10" s="18">
        <f t="shared" si="12"/>
        <v>0.52500000000000002</v>
      </c>
    </row>
    <row r="11" spans="1:19" ht="15" thickBot="1">
      <c r="A11" s="6" t="s">
        <v>99</v>
      </c>
      <c r="B11" s="6" t="s">
        <v>103</v>
      </c>
      <c r="C11" s="7" t="s">
        <v>198</v>
      </c>
      <c r="D11" s="10">
        <v>509</v>
      </c>
      <c r="E11" s="18">
        <v>0.42</v>
      </c>
      <c r="F11" s="18">
        <f t="shared" si="0"/>
        <v>0.69299999999999995</v>
      </c>
      <c r="G11" s="6" t="str">
        <f t="shared" si="1"/>
        <v>Tinggi</v>
      </c>
      <c r="H11" s="18">
        <f t="shared" si="2"/>
        <v>0.52500000000000002</v>
      </c>
      <c r="I11" s="18">
        <f t="shared" si="3"/>
        <v>0.54600000000000004</v>
      </c>
      <c r="J11" s="18">
        <f t="shared" si="4"/>
        <v>0.504</v>
      </c>
      <c r="K11" s="18">
        <f t="shared" si="5"/>
        <v>0.42</v>
      </c>
      <c r="L11" s="18">
        <f t="shared" si="6"/>
        <v>0.315</v>
      </c>
      <c r="M11" s="18">
        <f t="shared" si="7"/>
        <v>0.23100000000000001</v>
      </c>
      <c r="N11" s="18">
        <f t="shared" si="13"/>
        <v>0.189</v>
      </c>
      <c r="O11" s="18">
        <f t="shared" si="13"/>
        <v>0.189</v>
      </c>
      <c r="P11" s="18">
        <f t="shared" si="9"/>
        <v>0.252</v>
      </c>
      <c r="Q11" s="18">
        <f t="shared" si="10"/>
        <v>0.35699999999999998</v>
      </c>
      <c r="R11" s="18">
        <f t="shared" si="11"/>
        <v>0.46200000000000002</v>
      </c>
      <c r="S11" s="18">
        <f t="shared" si="12"/>
        <v>0.52500000000000002</v>
      </c>
    </row>
    <row r="12" spans="1:19" ht="28">
      <c r="A12" s="6" t="s">
        <v>99</v>
      </c>
      <c r="B12" s="6" t="s">
        <v>105</v>
      </c>
      <c r="C12" s="7" t="s">
        <v>209</v>
      </c>
      <c r="D12" s="10">
        <v>371</v>
      </c>
      <c r="E12" s="18">
        <v>0.42</v>
      </c>
      <c r="F12" s="18">
        <f t="shared" si="0"/>
        <v>0.69299999999999995</v>
      </c>
      <c r="G12" s="6" t="str">
        <f t="shared" si="1"/>
        <v>Tinggi</v>
      </c>
      <c r="H12" s="18">
        <f t="shared" si="2"/>
        <v>0.52500000000000002</v>
      </c>
      <c r="I12" s="18">
        <f t="shared" si="3"/>
        <v>0.54600000000000004</v>
      </c>
      <c r="J12" s="18">
        <f t="shared" si="4"/>
        <v>0.504</v>
      </c>
      <c r="K12" s="18">
        <f t="shared" si="5"/>
        <v>0.42</v>
      </c>
      <c r="L12" s="18">
        <f t="shared" si="6"/>
        <v>0.315</v>
      </c>
      <c r="M12" s="18">
        <f t="shared" si="7"/>
        <v>0.23100000000000001</v>
      </c>
      <c r="N12" s="18">
        <f t="shared" si="13"/>
        <v>0.189</v>
      </c>
      <c r="O12" s="18">
        <f t="shared" si="13"/>
        <v>0.189</v>
      </c>
      <c r="P12" s="18">
        <f t="shared" si="9"/>
        <v>0.252</v>
      </c>
      <c r="Q12" s="18">
        <f t="shared" si="10"/>
        <v>0.35699999999999998</v>
      </c>
      <c r="R12" s="18">
        <f t="shared" si="11"/>
        <v>0.46200000000000002</v>
      </c>
      <c r="S12" s="18">
        <f t="shared" si="12"/>
        <v>0.52500000000000002</v>
      </c>
    </row>
    <row r="13" spans="1:19">
      <c r="C13" s="13"/>
    </row>
    <row r="14" spans="1:19">
      <c r="C14" s="13"/>
    </row>
    <row r="15" spans="1:19">
      <c r="C15" s="13"/>
    </row>
    <row r="16" spans="1:19">
      <c r="C16" s="13"/>
    </row>
    <row r="17" spans="3:3">
      <c r="C17" s="13"/>
    </row>
  </sheetData>
  <conditionalFormatting sqref="G2:G12">
    <cfRule type="expression" dxfId="47" priority="1">
      <formula>$G2="Tinggi"</formula>
    </cfRule>
    <cfRule type="expression" dxfId="46" priority="2">
      <formula>$G2="Sedang"</formula>
    </cfRule>
    <cfRule type="expression" dxfId="45" priority="3">
      <formula>$G2="Rendah"</formula>
    </cfRule>
  </conditionalFormatting>
  <conditionalFormatting sqref="E2:S12">
    <cfRule type="colorScale" priority="525">
      <colorScale>
        <cfvo type="min"/>
        <cfvo type="percentile" val="50"/>
        <cfvo type="max"/>
        <color rgb="FFFFFFFF"/>
        <color rgb="FFFFD966"/>
        <color rgb="FF63BE7B"/>
      </colorScale>
    </cfRule>
  </conditionalFormatting>
  <pageMargins left="0.7" right="0.7" top="0.75" bottom="0.75" header="0.3" footer="0.3"/>
  <headerFooter>
    <oddFooter>&amp;R_x000D_&amp;1#&amp;"Aptos"&amp;22&amp;KFF8939 RESTRICTED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D6758-2048-4C94-B4F7-E97C449B4AB2}">
  <dimension ref="A1:S17"/>
  <sheetViews>
    <sheetView workbookViewId="0"/>
  </sheetViews>
  <sheetFormatPr defaultRowHeight="14.5"/>
  <cols>
    <col min="1" max="1" width="8.54296875" bestFit="1" customWidth="1"/>
    <col min="3" max="3" width="36.36328125" customWidth="1"/>
    <col min="4" max="5" width="8.453125" bestFit="1" customWidth="1"/>
    <col min="6" max="6" width="8.54296875" bestFit="1" customWidth="1"/>
    <col min="8" max="19" width="7.54296875" bestFit="1" customWidth="1"/>
  </cols>
  <sheetData>
    <row r="1" spans="1:19" ht="140">
      <c r="A1" s="20" t="s">
        <v>24</v>
      </c>
      <c r="B1" s="20" t="s">
        <v>25</v>
      </c>
      <c r="C1" s="20" t="s">
        <v>189</v>
      </c>
      <c r="D1" s="20" t="s">
        <v>190</v>
      </c>
      <c r="E1" s="20" t="s">
        <v>199</v>
      </c>
      <c r="F1" s="20" t="s">
        <v>200</v>
      </c>
      <c r="G1" s="20" t="s">
        <v>30</v>
      </c>
      <c r="H1" s="20" t="s">
        <v>31</v>
      </c>
      <c r="I1" s="20" t="s">
        <v>175</v>
      </c>
      <c r="J1" s="20" t="s">
        <v>33</v>
      </c>
      <c r="K1" s="20" t="s">
        <v>34</v>
      </c>
      <c r="L1" s="20" t="s">
        <v>35</v>
      </c>
      <c r="M1" s="20" t="s">
        <v>176</v>
      </c>
      <c r="N1" s="20" t="s">
        <v>37</v>
      </c>
      <c r="O1" s="20" t="s">
        <v>177</v>
      </c>
      <c r="P1" s="20" t="s">
        <v>39</v>
      </c>
      <c r="Q1" s="20" t="s">
        <v>40</v>
      </c>
      <c r="R1" s="20" t="s">
        <v>41</v>
      </c>
      <c r="S1" s="20" t="s">
        <v>42</v>
      </c>
    </row>
    <row r="2" spans="1:19" ht="28.5" thickBot="1">
      <c r="A2" s="2" t="s">
        <v>43</v>
      </c>
      <c r="B2" s="2" t="s">
        <v>43</v>
      </c>
      <c r="C2" s="8" t="s">
        <v>205</v>
      </c>
      <c r="D2" s="9">
        <v>2528</v>
      </c>
      <c r="E2" s="17">
        <v>0.24</v>
      </c>
      <c r="F2" s="17">
        <f t="shared" ref="F2:F12" si="0">MIN(100%,ROUND(E2*1.45,3))</f>
        <v>0.34799999999999998</v>
      </c>
      <c r="G2" s="2" t="str">
        <f t="shared" ref="G2:G12" si="1">IF(F2&gt;35%,"Tinggi",IF(F2&gt;=20%,"Sedang","Rendah"))</f>
        <v>Sedang</v>
      </c>
      <c r="H2" s="17">
        <f t="shared" ref="H2:H12" si="2">MIN(100%,ROUND($E2*0.65,3))</f>
        <v>0.156</v>
      </c>
      <c r="I2" s="17">
        <f t="shared" ref="I2:I12" si="3">MIN(100%,ROUND($E2*0.6,3))</f>
        <v>0.14399999999999999</v>
      </c>
      <c r="J2" s="17">
        <f t="shared" ref="J2:J12" si="4">MIN(100%,ROUND($E2*0.7,3))</f>
        <v>0.16800000000000001</v>
      </c>
      <c r="K2" s="17">
        <f t="shared" ref="K2:K12" si="5">MIN(100%,ROUND($E2*0.85,3))</f>
        <v>0.20399999999999999</v>
      </c>
      <c r="L2" s="17">
        <f t="shared" ref="L2:L12" si="6">MIN(100%,ROUND($E2*1.05,3))</f>
        <v>0.252</v>
      </c>
      <c r="M2" s="17">
        <f t="shared" ref="M2:M12" si="7">MIN(100%,ROUND($E2*1.2,3))</f>
        <v>0.28799999999999998</v>
      </c>
      <c r="N2" s="17">
        <f t="shared" ref="N2:N12" si="8">MIN(100%,ROUND($E2*1.3,3))</f>
        <v>0.312</v>
      </c>
      <c r="O2" s="17">
        <f t="shared" ref="O2:O12" si="9">MIN(100%,ROUND($E2*1.35,3))</f>
        <v>0.32400000000000001</v>
      </c>
      <c r="P2" s="17">
        <f t="shared" ref="P2:P12" si="10">MIN(100%,ROUND($E2*1.25,3))</f>
        <v>0.3</v>
      </c>
      <c r="Q2" s="17">
        <f t="shared" ref="Q2:Q12" si="11">MIN(100%,ROUND($E2*1,3))</f>
        <v>0.24</v>
      </c>
      <c r="R2" s="17">
        <f t="shared" ref="R2:R12" si="12">MIN(100%,ROUND($E2*0.8,3))</f>
        <v>0.192</v>
      </c>
      <c r="S2" s="17">
        <f t="shared" ref="S2:S12" si="13">MIN(100%,ROUND($E2*0.7,3))</f>
        <v>0.16800000000000001</v>
      </c>
    </row>
    <row r="3" spans="1:19" ht="28.5" thickBot="1">
      <c r="A3" s="6" t="s">
        <v>43</v>
      </c>
      <c r="B3" s="6" t="s">
        <v>46</v>
      </c>
      <c r="C3" s="7" t="s">
        <v>206</v>
      </c>
      <c r="D3" s="10">
        <v>299</v>
      </c>
      <c r="E3" s="18">
        <v>0.24</v>
      </c>
      <c r="F3" s="18">
        <f t="shared" si="0"/>
        <v>0.34799999999999998</v>
      </c>
      <c r="G3" s="6" t="str">
        <f t="shared" si="1"/>
        <v>Sedang</v>
      </c>
      <c r="H3" s="18">
        <f t="shared" si="2"/>
        <v>0.156</v>
      </c>
      <c r="I3" s="18">
        <f t="shared" si="3"/>
        <v>0.14399999999999999</v>
      </c>
      <c r="J3" s="18">
        <f t="shared" si="4"/>
        <v>0.16800000000000001</v>
      </c>
      <c r="K3" s="18">
        <f t="shared" si="5"/>
        <v>0.20399999999999999</v>
      </c>
      <c r="L3" s="18">
        <f t="shared" si="6"/>
        <v>0.252</v>
      </c>
      <c r="M3" s="18">
        <f t="shared" si="7"/>
        <v>0.28799999999999998</v>
      </c>
      <c r="N3" s="18">
        <f t="shared" si="8"/>
        <v>0.312</v>
      </c>
      <c r="O3" s="18">
        <f t="shared" si="9"/>
        <v>0.32400000000000001</v>
      </c>
      <c r="P3" s="18">
        <f t="shared" si="10"/>
        <v>0.3</v>
      </c>
      <c r="Q3" s="18">
        <f t="shared" si="11"/>
        <v>0.24</v>
      </c>
      <c r="R3" s="18">
        <f t="shared" si="12"/>
        <v>0.192</v>
      </c>
      <c r="S3" s="18">
        <f t="shared" si="13"/>
        <v>0.16800000000000001</v>
      </c>
    </row>
    <row r="4" spans="1:19" ht="28.5" thickBot="1">
      <c r="A4" s="6" t="s">
        <v>43</v>
      </c>
      <c r="B4" s="6" t="s">
        <v>48</v>
      </c>
      <c r="C4" s="7" t="s">
        <v>193</v>
      </c>
      <c r="D4" s="10">
        <v>370</v>
      </c>
      <c r="E4" s="18">
        <v>0.24</v>
      </c>
      <c r="F4" s="18">
        <f t="shared" si="0"/>
        <v>0.34799999999999998</v>
      </c>
      <c r="G4" s="6" t="str">
        <f t="shared" si="1"/>
        <v>Sedang</v>
      </c>
      <c r="H4" s="18">
        <f t="shared" si="2"/>
        <v>0.156</v>
      </c>
      <c r="I4" s="18">
        <f t="shared" si="3"/>
        <v>0.14399999999999999</v>
      </c>
      <c r="J4" s="18">
        <f t="shared" si="4"/>
        <v>0.16800000000000001</v>
      </c>
      <c r="K4" s="18">
        <f t="shared" si="5"/>
        <v>0.20399999999999999</v>
      </c>
      <c r="L4" s="18">
        <f t="shared" si="6"/>
        <v>0.252</v>
      </c>
      <c r="M4" s="18">
        <f t="shared" si="7"/>
        <v>0.28799999999999998</v>
      </c>
      <c r="N4" s="18">
        <f t="shared" si="8"/>
        <v>0.312</v>
      </c>
      <c r="O4" s="18">
        <f t="shared" si="9"/>
        <v>0.32400000000000001</v>
      </c>
      <c r="P4" s="18">
        <f t="shared" si="10"/>
        <v>0.3</v>
      </c>
      <c r="Q4" s="18">
        <f t="shared" si="11"/>
        <v>0.24</v>
      </c>
      <c r="R4" s="18">
        <f t="shared" si="12"/>
        <v>0.192</v>
      </c>
      <c r="S4" s="18">
        <f t="shared" si="13"/>
        <v>0.16800000000000001</v>
      </c>
    </row>
    <row r="5" spans="1:19" ht="28.5" thickBot="1">
      <c r="A5" s="6" t="s">
        <v>51</v>
      </c>
      <c r="B5" s="6" t="s">
        <v>52</v>
      </c>
      <c r="C5" s="7" t="s">
        <v>194</v>
      </c>
      <c r="D5" s="10">
        <v>159</v>
      </c>
      <c r="E5" s="18">
        <v>0.24</v>
      </c>
      <c r="F5" s="18">
        <f t="shared" si="0"/>
        <v>0.34799999999999998</v>
      </c>
      <c r="G5" s="6" t="str">
        <f t="shared" si="1"/>
        <v>Sedang</v>
      </c>
      <c r="H5" s="18">
        <f t="shared" si="2"/>
        <v>0.156</v>
      </c>
      <c r="I5" s="18">
        <f t="shared" si="3"/>
        <v>0.14399999999999999</v>
      </c>
      <c r="J5" s="18">
        <f t="shared" si="4"/>
        <v>0.16800000000000001</v>
      </c>
      <c r="K5" s="18">
        <f t="shared" si="5"/>
        <v>0.20399999999999999</v>
      </c>
      <c r="L5" s="18">
        <f t="shared" si="6"/>
        <v>0.252</v>
      </c>
      <c r="M5" s="18">
        <f t="shared" si="7"/>
        <v>0.28799999999999998</v>
      </c>
      <c r="N5" s="18">
        <f t="shared" si="8"/>
        <v>0.312</v>
      </c>
      <c r="O5" s="18">
        <f t="shared" si="9"/>
        <v>0.32400000000000001</v>
      </c>
      <c r="P5" s="18">
        <f t="shared" si="10"/>
        <v>0.3</v>
      </c>
      <c r="Q5" s="18">
        <f t="shared" si="11"/>
        <v>0.24</v>
      </c>
      <c r="R5" s="18">
        <f t="shared" si="12"/>
        <v>0.192</v>
      </c>
      <c r="S5" s="18">
        <f t="shared" si="13"/>
        <v>0.16800000000000001</v>
      </c>
    </row>
    <row r="6" spans="1:19" ht="28.5" thickBot="1">
      <c r="A6" s="6" t="s">
        <v>51</v>
      </c>
      <c r="B6" s="6" t="s">
        <v>51</v>
      </c>
      <c r="C6" s="7" t="s">
        <v>195</v>
      </c>
      <c r="D6" s="10">
        <v>697</v>
      </c>
      <c r="E6" s="18">
        <v>0.24</v>
      </c>
      <c r="F6" s="18">
        <f t="shared" si="0"/>
        <v>0.34799999999999998</v>
      </c>
      <c r="G6" s="6" t="str">
        <f t="shared" si="1"/>
        <v>Sedang</v>
      </c>
      <c r="H6" s="18">
        <f t="shared" si="2"/>
        <v>0.156</v>
      </c>
      <c r="I6" s="18">
        <f t="shared" si="3"/>
        <v>0.14399999999999999</v>
      </c>
      <c r="J6" s="18">
        <f t="shared" si="4"/>
        <v>0.16800000000000001</v>
      </c>
      <c r="K6" s="18">
        <f t="shared" si="5"/>
        <v>0.20399999999999999</v>
      </c>
      <c r="L6" s="18">
        <f t="shared" si="6"/>
        <v>0.252</v>
      </c>
      <c r="M6" s="18">
        <f t="shared" si="7"/>
        <v>0.28799999999999998</v>
      </c>
      <c r="N6" s="18">
        <f t="shared" si="8"/>
        <v>0.312</v>
      </c>
      <c r="O6" s="18">
        <f t="shared" si="9"/>
        <v>0.32400000000000001</v>
      </c>
      <c r="P6" s="18">
        <f t="shared" si="10"/>
        <v>0.3</v>
      </c>
      <c r="Q6" s="18">
        <f t="shared" si="11"/>
        <v>0.24</v>
      </c>
      <c r="R6" s="18">
        <f t="shared" si="12"/>
        <v>0.192</v>
      </c>
      <c r="S6" s="18">
        <f t="shared" si="13"/>
        <v>0.16800000000000001</v>
      </c>
    </row>
    <row r="7" spans="1:19" ht="28.5" thickBot="1">
      <c r="A7" s="6" t="s">
        <v>51</v>
      </c>
      <c r="B7" s="6" t="s">
        <v>55</v>
      </c>
      <c r="C7" s="7" t="s">
        <v>196</v>
      </c>
      <c r="D7" s="10">
        <v>2350</v>
      </c>
      <c r="E7" s="18">
        <v>0.24</v>
      </c>
      <c r="F7" s="18">
        <f t="shared" si="0"/>
        <v>0.34799999999999998</v>
      </c>
      <c r="G7" s="6" t="str">
        <f t="shared" si="1"/>
        <v>Sedang</v>
      </c>
      <c r="H7" s="18">
        <f t="shared" si="2"/>
        <v>0.156</v>
      </c>
      <c r="I7" s="18">
        <f t="shared" si="3"/>
        <v>0.14399999999999999</v>
      </c>
      <c r="J7" s="18">
        <f t="shared" si="4"/>
        <v>0.16800000000000001</v>
      </c>
      <c r="K7" s="18">
        <f t="shared" si="5"/>
        <v>0.20399999999999999</v>
      </c>
      <c r="L7" s="18">
        <f t="shared" si="6"/>
        <v>0.252</v>
      </c>
      <c r="M7" s="18">
        <f t="shared" si="7"/>
        <v>0.28799999999999998</v>
      </c>
      <c r="N7" s="18">
        <f t="shared" si="8"/>
        <v>0.312</v>
      </c>
      <c r="O7" s="18">
        <f t="shared" si="9"/>
        <v>0.32400000000000001</v>
      </c>
      <c r="P7" s="18">
        <f t="shared" si="10"/>
        <v>0.3</v>
      </c>
      <c r="Q7" s="18">
        <f t="shared" si="11"/>
        <v>0.24</v>
      </c>
      <c r="R7" s="18">
        <f t="shared" si="12"/>
        <v>0.192</v>
      </c>
      <c r="S7" s="18">
        <f t="shared" si="13"/>
        <v>0.16800000000000001</v>
      </c>
    </row>
    <row r="8" spans="1:19" ht="28.5" thickBot="1">
      <c r="A8" s="6" t="s">
        <v>59</v>
      </c>
      <c r="B8" s="6" t="s">
        <v>59</v>
      </c>
      <c r="C8" s="7" t="s">
        <v>197</v>
      </c>
      <c r="D8" s="10">
        <v>101</v>
      </c>
      <c r="E8" s="18">
        <v>0.24</v>
      </c>
      <c r="F8" s="18">
        <f t="shared" si="0"/>
        <v>0.34799999999999998</v>
      </c>
      <c r="G8" s="6" t="str">
        <f t="shared" si="1"/>
        <v>Sedang</v>
      </c>
      <c r="H8" s="18">
        <f t="shared" si="2"/>
        <v>0.156</v>
      </c>
      <c r="I8" s="18">
        <f t="shared" si="3"/>
        <v>0.14399999999999999</v>
      </c>
      <c r="J8" s="18">
        <f t="shared" si="4"/>
        <v>0.16800000000000001</v>
      </c>
      <c r="K8" s="18">
        <f t="shared" si="5"/>
        <v>0.20399999999999999</v>
      </c>
      <c r="L8" s="18">
        <f t="shared" si="6"/>
        <v>0.252</v>
      </c>
      <c r="M8" s="18">
        <f t="shared" si="7"/>
        <v>0.28799999999999998</v>
      </c>
      <c r="N8" s="18">
        <f t="shared" si="8"/>
        <v>0.312</v>
      </c>
      <c r="O8" s="18">
        <f t="shared" si="9"/>
        <v>0.32400000000000001</v>
      </c>
      <c r="P8" s="18">
        <f t="shared" si="10"/>
        <v>0.3</v>
      </c>
      <c r="Q8" s="18">
        <f t="shared" si="11"/>
        <v>0.24</v>
      </c>
      <c r="R8" s="18">
        <f t="shared" si="12"/>
        <v>0.192</v>
      </c>
      <c r="S8" s="18">
        <f t="shared" si="13"/>
        <v>0.16800000000000001</v>
      </c>
    </row>
    <row r="9" spans="1:19" ht="28.5" thickBot="1">
      <c r="A9" s="6" t="s">
        <v>99</v>
      </c>
      <c r="B9" s="6" t="s">
        <v>100</v>
      </c>
      <c r="C9" s="7" t="s">
        <v>207</v>
      </c>
      <c r="D9" s="10">
        <v>4411</v>
      </c>
      <c r="E9" s="18">
        <v>0.24</v>
      </c>
      <c r="F9" s="18">
        <f t="shared" si="0"/>
        <v>0.34799999999999998</v>
      </c>
      <c r="G9" s="6" t="str">
        <f t="shared" si="1"/>
        <v>Sedang</v>
      </c>
      <c r="H9" s="18">
        <f t="shared" si="2"/>
        <v>0.156</v>
      </c>
      <c r="I9" s="18">
        <f t="shared" si="3"/>
        <v>0.14399999999999999</v>
      </c>
      <c r="J9" s="18">
        <f t="shared" si="4"/>
        <v>0.16800000000000001</v>
      </c>
      <c r="K9" s="18">
        <f t="shared" si="5"/>
        <v>0.20399999999999999</v>
      </c>
      <c r="L9" s="18">
        <f t="shared" si="6"/>
        <v>0.252</v>
      </c>
      <c r="M9" s="18">
        <f t="shared" si="7"/>
        <v>0.28799999999999998</v>
      </c>
      <c r="N9" s="18">
        <f t="shared" si="8"/>
        <v>0.312</v>
      </c>
      <c r="O9" s="18">
        <f t="shared" si="9"/>
        <v>0.32400000000000001</v>
      </c>
      <c r="P9" s="18">
        <f t="shared" si="10"/>
        <v>0.3</v>
      </c>
      <c r="Q9" s="18">
        <f t="shared" si="11"/>
        <v>0.24</v>
      </c>
      <c r="R9" s="18">
        <f t="shared" si="12"/>
        <v>0.192</v>
      </c>
      <c r="S9" s="18">
        <f t="shared" si="13"/>
        <v>0.16800000000000001</v>
      </c>
    </row>
    <row r="10" spans="1:19" ht="28.5" thickBot="1">
      <c r="A10" s="6" t="s">
        <v>99</v>
      </c>
      <c r="B10" s="6" t="s">
        <v>99</v>
      </c>
      <c r="C10" s="7" t="s">
        <v>208</v>
      </c>
      <c r="D10" s="10">
        <v>3461</v>
      </c>
      <c r="E10" s="18">
        <v>0.24</v>
      </c>
      <c r="F10" s="18">
        <f t="shared" si="0"/>
        <v>0.34799999999999998</v>
      </c>
      <c r="G10" s="6" t="str">
        <f t="shared" si="1"/>
        <v>Sedang</v>
      </c>
      <c r="H10" s="18">
        <f t="shared" si="2"/>
        <v>0.156</v>
      </c>
      <c r="I10" s="18">
        <f t="shared" si="3"/>
        <v>0.14399999999999999</v>
      </c>
      <c r="J10" s="18">
        <f t="shared" si="4"/>
        <v>0.16800000000000001</v>
      </c>
      <c r="K10" s="18">
        <f t="shared" si="5"/>
        <v>0.20399999999999999</v>
      </c>
      <c r="L10" s="18">
        <f t="shared" si="6"/>
        <v>0.252</v>
      </c>
      <c r="M10" s="18">
        <f t="shared" si="7"/>
        <v>0.28799999999999998</v>
      </c>
      <c r="N10" s="18">
        <f t="shared" si="8"/>
        <v>0.312</v>
      </c>
      <c r="O10" s="18">
        <f t="shared" si="9"/>
        <v>0.32400000000000001</v>
      </c>
      <c r="P10" s="18">
        <f t="shared" si="10"/>
        <v>0.3</v>
      </c>
      <c r="Q10" s="18">
        <f t="shared" si="11"/>
        <v>0.24</v>
      </c>
      <c r="R10" s="18">
        <f t="shared" si="12"/>
        <v>0.192</v>
      </c>
      <c r="S10" s="18">
        <f t="shared" si="13"/>
        <v>0.16800000000000001</v>
      </c>
    </row>
    <row r="11" spans="1:19" ht="28.5" thickBot="1">
      <c r="A11" s="6" t="s">
        <v>99</v>
      </c>
      <c r="B11" s="6" t="s">
        <v>103</v>
      </c>
      <c r="C11" s="7" t="s">
        <v>198</v>
      </c>
      <c r="D11" s="10">
        <v>509</v>
      </c>
      <c r="E11" s="18">
        <v>0.24</v>
      </c>
      <c r="F11" s="18">
        <f t="shared" si="0"/>
        <v>0.34799999999999998</v>
      </c>
      <c r="G11" s="6" t="str">
        <f t="shared" si="1"/>
        <v>Sedang</v>
      </c>
      <c r="H11" s="18">
        <f t="shared" si="2"/>
        <v>0.156</v>
      </c>
      <c r="I11" s="18">
        <f t="shared" si="3"/>
        <v>0.14399999999999999</v>
      </c>
      <c r="J11" s="18">
        <f t="shared" si="4"/>
        <v>0.16800000000000001</v>
      </c>
      <c r="K11" s="18">
        <f t="shared" si="5"/>
        <v>0.20399999999999999</v>
      </c>
      <c r="L11" s="18">
        <f t="shared" si="6"/>
        <v>0.252</v>
      </c>
      <c r="M11" s="18">
        <f t="shared" si="7"/>
        <v>0.28799999999999998</v>
      </c>
      <c r="N11" s="18">
        <f t="shared" si="8"/>
        <v>0.312</v>
      </c>
      <c r="O11" s="18">
        <f t="shared" si="9"/>
        <v>0.32400000000000001</v>
      </c>
      <c r="P11" s="18">
        <f t="shared" si="10"/>
        <v>0.3</v>
      </c>
      <c r="Q11" s="18">
        <f t="shared" si="11"/>
        <v>0.24</v>
      </c>
      <c r="R11" s="18">
        <f t="shared" si="12"/>
        <v>0.192</v>
      </c>
      <c r="S11" s="18">
        <f t="shared" si="13"/>
        <v>0.16800000000000001</v>
      </c>
    </row>
    <row r="12" spans="1:19" ht="28">
      <c r="A12" s="6" t="s">
        <v>99</v>
      </c>
      <c r="B12" s="6" t="s">
        <v>105</v>
      </c>
      <c r="C12" s="7" t="s">
        <v>209</v>
      </c>
      <c r="D12" s="10">
        <v>371</v>
      </c>
      <c r="E12" s="18">
        <v>0.24</v>
      </c>
      <c r="F12" s="18">
        <f t="shared" si="0"/>
        <v>0.34799999999999998</v>
      </c>
      <c r="G12" s="6" t="str">
        <f t="shared" si="1"/>
        <v>Sedang</v>
      </c>
      <c r="H12" s="18">
        <f t="shared" si="2"/>
        <v>0.156</v>
      </c>
      <c r="I12" s="18">
        <f t="shared" si="3"/>
        <v>0.14399999999999999</v>
      </c>
      <c r="J12" s="18">
        <f t="shared" si="4"/>
        <v>0.16800000000000001</v>
      </c>
      <c r="K12" s="18">
        <f t="shared" si="5"/>
        <v>0.20399999999999999</v>
      </c>
      <c r="L12" s="18">
        <f t="shared" si="6"/>
        <v>0.252</v>
      </c>
      <c r="M12" s="18">
        <f t="shared" si="7"/>
        <v>0.28799999999999998</v>
      </c>
      <c r="N12" s="18">
        <f t="shared" si="8"/>
        <v>0.312</v>
      </c>
      <c r="O12" s="18">
        <f t="shared" si="9"/>
        <v>0.32400000000000001</v>
      </c>
      <c r="P12" s="18">
        <f t="shared" si="10"/>
        <v>0.3</v>
      </c>
      <c r="Q12" s="18">
        <f t="shared" si="11"/>
        <v>0.24</v>
      </c>
      <c r="R12" s="18">
        <f t="shared" si="12"/>
        <v>0.192</v>
      </c>
      <c r="S12" s="18">
        <f t="shared" si="13"/>
        <v>0.16800000000000001</v>
      </c>
    </row>
    <row r="13" spans="1:19">
      <c r="C13" s="13"/>
    </row>
    <row r="14" spans="1:19">
      <c r="C14" s="13"/>
    </row>
    <row r="15" spans="1:19">
      <c r="C15" s="13"/>
    </row>
    <row r="16" spans="1:19">
      <c r="C16" s="13"/>
    </row>
    <row r="17" spans="3:3">
      <c r="C17" s="13"/>
    </row>
  </sheetData>
  <conditionalFormatting sqref="G2:G12">
    <cfRule type="expression" dxfId="44" priority="1">
      <formula>$G2="Tinggi"</formula>
    </cfRule>
    <cfRule type="expression" dxfId="43" priority="2">
      <formula>$G2="Sedang"</formula>
    </cfRule>
    <cfRule type="expression" dxfId="42" priority="3">
      <formula>$G2="Rendah"</formula>
    </cfRule>
  </conditionalFormatting>
  <conditionalFormatting sqref="E2:S12">
    <cfRule type="colorScale" priority="546">
      <colorScale>
        <cfvo type="min"/>
        <cfvo type="percentile" val="50"/>
        <cfvo type="max"/>
        <color rgb="FFFFFFFF"/>
        <color rgb="FFFFD966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B2F1-E549-4D83-A575-207D02AD5766}">
  <dimension ref="A1:S17"/>
  <sheetViews>
    <sheetView topLeftCell="A5" workbookViewId="0">
      <selection activeCell="A11" sqref="A11"/>
    </sheetView>
  </sheetViews>
  <sheetFormatPr defaultRowHeight="14.5"/>
  <cols>
    <col min="1" max="1" width="8.54296875" bestFit="1" customWidth="1"/>
    <col min="3" max="3" width="36.36328125" customWidth="1"/>
    <col min="4" max="5" width="8.453125" bestFit="1" customWidth="1"/>
    <col min="6" max="6" width="8.54296875" bestFit="1" customWidth="1"/>
    <col min="8" max="19" width="7.54296875" bestFit="1" customWidth="1"/>
  </cols>
  <sheetData>
    <row r="1" spans="1:19" ht="126">
      <c r="A1" s="20" t="s">
        <v>24</v>
      </c>
      <c r="B1" s="20" t="s">
        <v>25</v>
      </c>
      <c r="C1" s="20" t="s">
        <v>189</v>
      </c>
      <c r="D1" s="20" t="s">
        <v>190</v>
      </c>
      <c r="E1" s="20" t="s">
        <v>201</v>
      </c>
      <c r="F1" s="20" t="s">
        <v>202</v>
      </c>
      <c r="G1" s="20" t="s">
        <v>30</v>
      </c>
      <c r="H1" s="20" t="s">
        <v>31</v>
      </c>
      <c r="I1" s="20" t="s">
        <v>175</v>
      </c>
      <c r="J1" s="20" t="s">
        <v>33</v>
      </c>
      <c r="K1" s="20" t="s">
        <v>34</v>
      </c>
      <c r="L1" s="20" t="s">
        <v>35</v>
      </c>
      <c r="M1" s="20" t="s">
        <v>176</v>
      </c>
      <c r="N1" s="20" t="s">
        <v>37</v>
      </c>
      <c r="O1" s="20" t="s">
        <v>177</v>
      </c>
      <c r="P1" s="20" t="s">
        <v>39</v>
      </c>
      <c r="Q1" s="20" t="s">
        <v>40</v>
      </c>
      <c r="R1" s="20" t="s">
        <v>41</v>
      </c>
      <c r="S1" s="20" t="s">
        <v>42</v>
      </c>
    </row>
    <row r="2" spans="1:19" ht="15" thickBot="1">
      <c r="A2" s="2" t="s">
        <v>43</v>
      </c>
      <c r="B2" s="2" t="s">
        <v>43</v>
      </c>
      <c r="C2" s="8" t="s">
        <v>205</v>
      </c>
      <c r="D2" s="9">
        <v>2528</v>
      </c>
      <c r="E2" s="17">
        <v>0.25</v>
      </c>
      <c r="F2" s="17">
        <f t="shared" ref="F2:F12" si="0">MIN(100%,ROUND(E2*1.55,3))</f>
        <v>0.38800000000000001</v>
      </c>
      <c r="G2" s="2" t="str">
        <f t="shared" ref="G2:G12" si="1">IF(F2&gt;35%,"Tinggi",IF(F2&gt;=20%,"Sedang","Rendah"))</f>
        <v>Tinggi</v>
      </c>
      <c r="H2" s="17">
        <f t="shared" ref="H2:H12" si="2">MIN(100%,ROUND($E2*1.15,3))</f>
        <v>0.28799999999999998</v>
      </c>
      <c r="I2" s="17">
        <f t="shared" ref="I2:I12" si="3">MIN(100%,ROUND($E2*1.2,3))</f>
        <v>0.3</v>
      </c>
      <c r="J2" s="17">
        <f t="shared" ref="J2:J12" si="4">MIN(100%,ROUND($E2*1.1,3))</f>
        <v>0.27500000000000002</v>
      </c>
      <c r="K2" s="17">
        <f t="shared" ref="K2:K12" si="5">MIN(100%,ROUND($E2*0.9,3))</f>
        <v>0.22500000000000001</v>
      </c>
      <c r="L2" s="17">
        <f t="shared" ref="L2:L12" si="6">MIN(100%,ROUND($E2*0.7,3))</f>
        <v>0.17499999999999999</v>
      </c>
      <c r="M2" s="17">
        <f t="shared" ref="M2:M12" si="7">MIN(100%,ROUND($E2*0.6,3))</f>
        <v>0.15</v>
      </c>
      <c r="N2" s="17">
        <f t="shared" ref="N2:N12" si="8">MIN(100%,ROUND($E2*0.55,3))</f>
        <v>0.13800000000000001</v>
      </c>
      <c r="O2" s="17">
        <f t="shared" ref="O2:O12" si="9">MIN(100%,ROUND($E2*0.6,3))</f>
        <v>0.15</v>
      </c>
      <c r="P2" s="17">
        <f t="shared" ref="P2:P12" si="10">MIN(100%,ROUND($E2*0.75,3))</f>
        <v>0.188</v>
      </c>
      <c r="Q2" s="17">
        <f t="shared" ref="Q2:Q12" si="11">MIN(100%,ROUND($E2*0.9,3))</f>
        <v>0.22500000000000001</v>
      </c>
      <c r="R2" s="17">
        <f t="shared" ref="R2:R12" si="12">MIN(100%,ROUND($E2*1.05,3))</f>
        <v>0.26300000000000001</v>
      </c>
      <c r="S2" s="17">
        <f t="shared" ref="S2:S12" si="13">MIN(100%,ROUND($E2*1.15,3))</f>
        <v>0.28799999999999998</v>
      </c>
    </row>
    <row r="3" spans="1:19" ht="15" thickBot="1">
      <c r="A3" s="6" t="s">
        <v>43</v>
      </c>
      <c r="B3" s="6" t="s">
        <v>46</v>
      </c>
      <c r="C3" s="7" t="s">
        <v>206</v>
      </c>
      <c r="D3" s="10">
        <v>299</v>
      </c>
      <c r="E3" s="18">
        <v>0.25</v>
      </c>
      <c r="F3" s="18">
        <f t="shared" si="0"/>
        <v>0.38800000000000001</v>
      </c>
      <c r="G3" s="6" t="str">
        <f t="shared" si="1"/>
        <v>Tinggi</v>
      </c>
      <c r="H3" s="18">
        <f t="shared" si="2"/>
        <v>0.28799999999999998</v>
      </c>
      <c r="I3" s="18">
        <f t="shared" si="3"/>
        <v>0.3</v>
      </c>
      <c r="J3" s="18">
        <f t="shared" si="4"/>
        <v>0.27500000000000002</v>
      </c>
      <c r="K3" s="18">
        <f t="shared" si="5"/>
        <v>0.22500000000000001</v>
      </c>
      <c r="L3" s="18">
        <f t="shared" si="6"/>
        <v>0.17499999999999999</v>
      </c>
      <c r="M3" s="18">
        <f t="shared" si="7"/>
        <v>0.15</v>
      </c>
      <c r="N3" s="18">
        <f t="shared" si="8"/>
        <v>0.13800000000000001</v>
      </c>
      <c r="O3" s="18">
        <f t="shared" si="9"/>
        <v>0.15</v>
      </c>
      <c r="P3" s="18">
        <f t="shared" si="10"/>
        <v>0.188</v>
      </c>
      <c r="Q3" s="18">
        <f t="shared" si="11"/>
        <v>0.22500000000000001</v>
      </c>
      <c r="R3" s="18">
        <f t="shared" si="12"/>
        <v>0.26300000000000001</v>
      </c>
      <c r="S3" s="18">
        <f t="shared" si="13"/>
        <v>0.28799999999999998</v>
      </c>
    </row>
    <row r="4" spans="1:19" ht="28.5" thickBot="1">
      <c r="A4" s="6" t="s">
        <v>43</v>
      </c>
      <c r="B4" s="6" t="s">
        <v>48</v>
      </c>
      <c r="C4" s="7" t="s">
        <v>193</v>
      </c>
      <c r="D4" s="10">
        <v>370</v>
      </c>
      <c r="E4" s="18">
        <v>0.25</v>
      </c>
      <c r="F4" s="18">
        <f t="shared" si="0"/>
        <v>0.38800000000000001</v>
      </c>
      <c r="G4" s="6" t="str">
        <f t="shared" si="1"/>
        <v>Tinggi</v>
      </c>
      <c r="H4" s="18">
        <f t="shared" si="2"/>
        <v>0.28799999999999998</v>
      </c>
      <c r="I4" s="18">
        <f t="shared" si="3"/>
        <v>0.3</v>
      </c>
      <c r="J4" s="18">
        <f t="shared" si="4"/>
        <v>0.27500000000000002</v>
      </c>
      <c r="K4" s="18">
        <f t="shared" si="5"/>
        <v>0.22500000000000001</v>
      </c>
      <c r="L4" s="18">
        <f t="shared" si="6"/>
        <v>0.17499999999999999</v>
      </c>
      <c r="M4" s="18">
        <f t="shared" si="7"/>
        <v>0.15</v>
      </c>
      <c r="N4" s="18">
        <f t="shared" si="8"/>
        <v>0.13800000000000001</v>
      </c>
      <c r="O4" s="18">
        <f t="shared" si="9"/>
        <v>0.15</v>
      </c>
      <c r="P4" s="18">
        <f t="shared" si="10"/>
        <v>0.188</v>
      </c>
      <c r="Q4" s="18">
        <f t="shared" si="11"/>
        <v>0.22500000000000001</v>
      </c>
      <c r="R4" s="18">
        <f t="shared" si="12"/>
        <v>0.26300000000000001</v>
      </c>
      <c r="S4" s="18">
        <f t="shared" si="13"/>
        <v>0.28799999999999998</v>
      </c>
    </row>
    <row r="5" spans="1:19" ht="28.5" thickBot="1">
      <c r="A5" s="6" t="s">
        <v>51</v>
      </c>
      <c r="B5" s="6" t="s">
        <v>52</v>
      </c>
      <c r="C5" s="7" t="s">
        <v>194</v>
      </c>
      <c r="D5" s="10">
        <v>159</v>
      </c>
      <c r="E5" s="18">
        <v>0.25</v>
      </c>
      <c r="F5" s="18">
        <f t="shared" si="0"/>
        <v>0.38800000000000001</v>
      </c>
      <c r="G5" s="6" t="str">
        <f t="shared" si="1"/>
        <v>Tinggi</v>
      </c>
      <c r="H5" s="18">
        <f t="shared" si="2"/>
        <v>0.28799999999999998</v>
      </c>
      <c r="I5" s="18">
        <f t="shared" si="3"/>
        <v>0.3</v>
      </c>
      <c r="J5" s="18">
        <f t="shared" si="4"/>
        <v>0.27500000000000002</v>
      </c>
      <c r="K5" s="18">
        <f t="shared" si="5"/>
        <v>0.22500000000000001</v>
      </c>
      <c r="L5" s="18">
        <f t="shared" si="6"/>
        <v>0.17499999999999999</v>
      </c>
      <c r="M5" s="18">
        <f t="shared" si="7"/>
        <v>0.15</v>
      </c>
      <c r="N5" s="18">
        <f t="shared" si="8"/>
        <v>0.13800000000000001</v>
      </c>
      <c r="O5" s="18">
        <f t="shared" si="9"/>
        <v>0.15</v>
      </c>
      <c r="P5" s="18">
        <f t="shared" si="10"/>
        <v>0.188</v>
      </c>
      <c r="Q5" s="18">
        <f t="shared" si="11"/>
        <v>0.22500000000000001</v>
      </c>
      <c r="R5" s="18">
        <f t="shared" si="12"/>
        <v>0.26300000000000001</v>
      </c>
      <c r="S5" s="18">
        <f t="shared" si="13"/>
        <v>0.28799999999999998</v>
      </c>
    </row>
    <row r="6" spans="1:19" ht="28.5" thickBot="1">
      <c r="A6" s="6" t="s">
        <v>51</v>
      </c>
      <c r="B6" s="6" t="s">
        <v>51</v>
      </c>
      <c r="C6" s="7" t="s">
        <v>195</v>
      </c>
      <c r="D6" s="10">
        <v>697</v>
      </c>
      <c r="E6" s="18">
        <v>0.25</v>
      </c>
      <c r="F6" s="18">
        <f t="shared" si="0"/>
        <v>0.38800000000000001</v>
      </c>
      <c r="G6" s="6" t="str">
        <f t="shared" si="1"/>
        <v>Tinggi</v>
      </c>
      <c r="H6" s="18">
        <f t="shared" si="2"/>
        <v>0.28799999999999998</v>
      </c>
      <c r="I6" s="18">
        <f t="shared" si="3"/>
        <v>0.3</v>
      </c>
      <c r="J6" s="18">
        <f t="shared" si="4"/>
        <v>0.27500000000000002</v>
      </c>
      <c r="K6" s="18">
        <f t="shared" si="5"/>
        <v>0.22500000000000001</v>
      </c>
      <c r="L6" s="18">
        <f t="shared" si="6"/>
        <v>0.17499999999999999</v>
      </c>
      <c r="M6" s="18">
        <f t="shared" si="7"/>
        <v>0.15</v>
      </c>
      <c r="N6" s="18">
        <f t="shared" si="8"/>
        <v>0.13800000000000001</v>
      </c>
      <c r="O6" s="18">
        <f t="shared" si="9"/>
        <v>0.15</v>
      </c>
      <c r="P6" s="18">
        <f t="shared" si="10"/>
        <v>0.188</v>
      </c>
      <c r="Q6" s="18">
        <f t="shared" si="11"/>
        <v>0.22500000000000001</v>
      </c>
      <c r="R6" s="18">
        <f t="shared" si="12"/>
        <v>0.26300000000000001</v>
      </c>
      <c r="S6" s="18">
        <f t="shared" si="13"/>
        <v>0.28799999999999998</v>
      </c>
    </row>
    <row r="7" spans="1:19" ht="28.5" thickBot="1">
      <c r="A7" s="6" t="s">
        <v>51</v>
      </c>
      <c r="B7" s="6" t="s">
        <v>55</v>
      </c>
      <c r="C7" s="7" t="s">
        <v>196</v>
      </c>
      <c r="D7" s="10">
        <v>2350</v>
      </c>
      <c r="E7" s="18">
        <v>0.25</v>
      </c>
      <c r="F7" s="18">
        <f t="shared" si="0"/>
        <v>0.38800000000000001</v>
      </c>
      <c r="G7" s="6" t="str">
        <f t="shared" si="1"/>
        <v>Tinggi</v>
      </c>
      <c r="H7" s="18">
        <f t="shared" si="2"/>
        <v>0.28799999999999998</v>
      </c>
      <c r="I7" s="18">
        <f t="shared" si="3"/>
        <v>0.3</v>
      </c>
      <c r="J7" s="18">
        <f t="shared" si="4"/>
        <v>0.27500000000000002</v>
      </c>
      <c r="K7" s="18">
        <f t="shared" si="5"/>
        <v>0.22500000000000001</v>
      </c>
      <c r="L7" s="18">
        <f t="shared" si="6"/>
        <v>0.17499999999999999</v>
      </c>
      <c r="M7" s="18">
        <f t="shared" si="7"/>
        <v>0.15</v>
      </c>
      <c r="N7" s="18">
        <f t="shared" si="8"/>
        <v>0.13800000000000001</v>
      </c>
      <c r="O7" s="18">
        <f t="shared" si="9"/>
        <v>0.15</v>
      </c>
      <c r="P7" s="18">
        <f t="shared" si="10"/>
        <v>0.188</v>
      </c>
      <c r="Q7" s="18">
        <f t="shared" si="11"/>
        <v>0.22500000000000001</v>
      </c>
      <c r="R7" s="18">
        <f t="shared" si="12"/>
        <v>0.26300000000000001</v>
      </c>
      <c r="S7" s="18">
        <f t="shared" si="13"/>
        <v>0.28799999999999998</v>
      </c>
    </row>
    <row r="8" spans="1:19" ht="28.5" thickBot="1">
      <c r="A8" s="6" t="s">
        <v>59</v>
      </c>
      <c r="B8" s="6" t="s">
        <v>59</v>
      </c>
      <c r="C8" s="7" t="s">
        <v>197</v>
      </c>
      <c r="D8" s="10">
        <v>101</v>
      </c>
      <c r="E8" s="18">
        <v>0.25</v>
      </c>
      <c r="F8" s="18">
        <f t="shared" si="0"/>
        <v>0.38800000000000001</v>
      </c>
      <c r="G8" s="6" t="str">
        <f t="shared" si="1"/>
        <v>Tinggi</v>
      </c>
      <c r="H8" s="18">
        <f t="shared" si="2"/>
        <v>0.28799999999999998</v>
      </c>
      <c r="I8" s="18">
        <f t="shared" si="3"/>
        <v>0.3</v>
      </c>
      <c r="J8" s="18">
        <f t="shared" si="4"/>
        <v>0.27500000000000002</v>
      </c>
      <c r="K8" s="18">
        <f t="shared" si="5"/>
        <v>0.22500000000000001</v>
      </c>
      <c r="L8" s="18">
        <f t="shared" si="6"/>
        <v>0.17499999999999999</v>
      </c>
      <c r="M8" s="18">
        <f t="shared" si="7"/>
        <v>0.15</v>
      </c>
      <c r="N8" s="18">
        <f t="shared" si="8"/>
        <v>0.13800000000000001</v>
      </c>
      <c r="O8" s="18">
        <f t="shared" si="9"/>
        <v>0.15</v>
      </c>
      <c r="P8" s="18">
        <f t="shared" si="10"/>
        <v>0.188</v>
      </c>
      <c r="Q8" s="18">
        <f t="shared" si="11"/>
        <v>0.22500000000000001</v>
      </c>
      <c r="R8" s="18">
        <f t="shared" si="12"/>
        <v>0.26300000000000001</v>
      </c>
      <c r="S8" s="18">
        <f t="shared" si="13"/>
        <v>0.28799999999999998</v>
      </c>
    </row>
    <row r="9" spans="1:19" ht="28.5" thickBot="1">
      <c r="A9" s="6" t="s">
        <v>99</v>
      </c>
      <c r="B9" s="6" t="s">
        <v>100</v>
      </c>
      <c r="C9" s="7" t="s">
        <v>207</v>
      </c>
      <c r="D9" s="10">
        <v>4411</v>
      </c>
      <c r="E9" s="18">
        <v>0.25</v>
      </c>
      <c r="F9" s="18">
        <f t="shared" si="0"/>
        <v>0.38800000000000001</v>
      </c>
      <c r="G9" s="6" t="str">
        <f t="shared" si="1"/>
        <v>Tinggi</v>
      </c>
      <c r="H9" s="18">
        <f t="shared" si="2"/>
        <v>0.28799999999999998</v>
      </c>
      <c r="I9" s="18">
        <f t="shared" si="3"/>
        <v>0.3</v>
      </c>
      <c r="J9" s="18">
        <f t="shared" si="4"/>
        <v>0.27500000000000002</v>
      </c>
      <c r="K9" s="18">
        <f t="shared" si="5"/>
        <v>0.22500000000000001</v>
      </c>
      <c r="L9" s="18">
        <f t="shared" si="6"/>
        <v>0.17499999999999999</v>
      </c>
      <c r="M9" s="18">
        <f t="shared" si="7"/>
        <v>0.15</v>
      </c>
      <c r="N9" s="18">
        <f t="shared" si="8"/>
        <v>0.13800000000000001</v>
      </c>
      <c r="O9" s="18">
        <f t="shared" si="9"/>
        <v>0.15</v>
      </c>
      <c r="P9" s="18">
        <f t="shared" si="10"/>
        <v>0.188</v>
      </c>
      <c r="Q9" s="18">
        <f t="shared" si="11"/>
        <v>0.22500000000000001</v>
      </c>
      <c r="R9" s="18">
        <f t="shared" si="12"/>
        <v>0.26300000000000001</v>
      </c>
      <c r="S9" s="18">
        <f t="shared" si="13"/>
        <v>0.28799999999999998</v>
      </c>
    </row>
    <row r="10" spans="1:19" ht="28.5" thickBot="1">
      <c r="A10" s="6" t="s">
        <v>99</v>
      </c>
      <c r="B10" s="6" t="s">
        <v>99</v>
      </c>
      <c r="C10" s="7" t="s">
        <v>208</v>
      </c>
      <c r="D10" s="10">
        <v>3461</v>
      </c>
      <c r="E10" s="18">
        <v>0.25</v>
      </c>
      <c r="F10" s="18">
        <f t="shared" si="0"/>
        <v>0.38800000000000001</v>
      </c>
      <c r="G10" s="6" t="str">
        <f t="shared" si="1"/>
        <v>Tinggi</v>
      </c>
      <c r="H10" s="18">
        <f t="shared" si="2"/>
        <v>0.28799999999999998</v>
      </c>
      <c r="I10" s="18">
        <f t="shared" si="3"/>
        <v>0.3</v>
      </c>
      <c r="J10" s="18">
        <f t="shared" si="4"/>
        <v>0.27500000000000002</v>
      </c>
      <c r="K10" s="18">
        <f t="shared" si="5"/>
        <v>0.22500000000000001</v>
      </c>
      <c r="L10" s="18">
        <f t="shared" si="6"/>
        <v>0.17499999999999999</v>
      </c>
      <c r="M10" s="18">
        <f t="shared" si="7"/>
        <v>0.15</v>
      </c>
      <c r="N10" s="18">
        <f t="shared" si="8"/>
        <v>0.13800000000000001</v>
      </c>
      <c r="O10" s="18">
        <f t="shared" si="9"/>
        <v>0.15</v>
      </c>
      <c r="P10" s="18">
        <f t="shared" si="10"/>
        <v>0.188</v>
      </c>
      <c r="Q10" s="18">
        <f t="shared" si="11"/>
        <v>0.22500000000000001</v>
      </c>
      <c r="R10" s="18">
        <f t="shared" si="12"/>
        <v>0.26300000000000001</v>
      </c>
      <c r="S10" s="18">
        <f t="shared" si="13"/>
        <v>0.28799999999999998</v>
      </c>
    </row>
    <row r="11" spans="1:19" ht="28.5" thickBot="1">
      <c r="A11" s="6" t="s">
        <v>99</v>
      </c>
      <c r="B11" s="6" t="s">
        <v>103</v>
      </c>
      <c r="C11" s="7" t="s">
        <v>198</v>
      </c>
      <c r="D11" s="10">
        <v>509</v>
      </c>
      <c r="E11" s="18">
        <v>0.25</v>
      </c>
      <c r="F11" s="18">
        <f t="shared" si="0"/>
        <v>0.38800000000000001</v>
      </c>
      <c r="G11" s="6" t="str">
        <f t="shared" si="1"/>
        <v>Tinggi</v>
      </c>
      <c r="H11" s="18">
        <f t="shared" si="2"/>
        <v>0.28799999999999998</v>
      </c>
      <c r="I11" s="18">
        <f t="shared" si="3"/>
        <v>0.3</v>
      </c>
      <c r="J11" s="18">
        <f t="shared" si="4"/>
        <v>0.27500000000000002</v>
      </c>
      <c r="K11" s="18">
        <f t="shared" si="5"/>
        <v>0.22500000000000001</v>
      </c>
      <c r="L11" s="18">
        <f t="shared" si="6"/>
        <v>0.17499999999999999</v>
      </c>
      <c r="M11" s="18">
        <f t="shared" si="7"/>
        <v>0.15</v>
      </c>
      <c r="N11" s="18">
        <f t="shared" si="8"/>
        <v>0.13800000000000001</v>
      </c>
      <c r="O11" s="18">
        <f t="shared" si="9"/>
        <v>0.15</v>
      </c>
      <c r="P11" s="18">
        <f t="shared" si="10"/>
        <v>0.188</v>
      </c>
      <c r="Q11" s="18">
        <f t="shared" si="11"/>
        <v>0.22500000000000001</v>
      </c>
      <c r="R11" s="18">
        <f t="shared" si="12"/>
        <v>0.26300000000000001</v>
      </c>
      <c r="S11" s="18">
        <f t="shared" si="13"/>
        <v>0.28799999999999998</v>
      </c>
    </row>
    <row r="12" spans="1:19" ht="28">
      <c r="A12" s="6" t="s">
        <v>99</v>
      </c>
      <c r="B12" s="6" t="s">
        <v>105</v>
      </c>
      <c r="C12" s="7" t="s">
        <v>209</v>
      </c>
      <c r="D12" s="10">
        <v>371</v>
      </c>
      <c r="E12" s="18">
        <v>0.25</v>
      </c>
      <c r="F12" s="18">
        <f t="shared" si="0"/>
        <v>0.38800000000000001</v>
      </c>
      <c r="G12" s="6" t="str">
        <f t="shared" si="1"/>
        <v>Tinggi</v>
      </c>
      <c r="H12" s="18">
        <f t="shared" si="2"/>
        <v>0.28799999999999998</v>
      </c>
      <c r="I12" s="18">
        <f t="shared" si="3"/>
        <v>0.3</v>
      </c>
      <c r="J12" s="18">
        <f t="shared" si="4"/>
        <v>0.27500000000000002</v>
      </c>
      <c r="K12" s="18">
        <f t="shared" si="5"/>
        <v>0.22500000000000001</v>
      </c>
      <c r="L12" s="18">
        <f t="shared" si="6"/>
        <v>0.17499999999999999</v>
      </c>
      <c r="M12" s="18">
        <f t="shared" si="7"/>
        <v>0.15</v>
      </c>
      <c r="N12" s="18">
        <f t="shared" si="8"/>
        <v>0.13800000000000001</v>
      </c>
      <c r="O12" s="18">
        <f t="shared" si="9"/>
        <v>0.15</v>
      </c>
      <c r="P12" s="18">
        <f t="shared" si="10"/>
        <v>0.188</v>
      </c>
      <c r="Q12" s="18">
        <f t="shared" si="11"/>
        <v>0.22500000000000001</v>
      </c>
      <c r="R12" s="18">
        <f t="shared" si="12"/>
        <v>0.26300000000000001</v>
      </c>
      <c r="S12" s="18">
        <f t="shared" si="13"/>
        <v>0.28799999999999998</v>
      </c>
    </row>
    <row r="13" spans="1:19">
      <c r="C13" s="13"/>
    </row>
    <row r="14" spans="1:19">
      <c r="C14" s="13"/>
    </row>
    <row r="15" spans="1:19">
      <c r="C15" s="13"/>
    </row>
    <row r="16" spans="1:19">
      <c r="C16" s="13"/>
    </row>
    <row r="17" spans="3:3">
      <c r="C17" s="13"/>
    </row>
  </sheetData>
  <conditionalFormatting sqref="G2:G12">
    <cfRule type="expression" dxfId="41" priority="1">
      <formula>$G2="Tinggi"</formula>
    </cfRule>
    <cfRule type="expression" dxfId="40" priority="2">
      <formula>$G2="Sedang"</formula>
    </cfRule>
    <cfRule type="expression" dxfId="39" priority="3">
      <formula>$G2="Rendah"</formula>
    </cfRule>
  </conditionalFormatting>
  <conditionalFormatting sqref="E2:S12">
    <cfRule type="colorScale" priority="567">
      <colorScale>
        <cfvo type="min"/>
        <cfvo type="percentile" val="50"/>
        <cfvo type="max"/>
        <color rgb="FFFFFFFF"/>
        <color rgb="FFFFD966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12174-1FC4-4C28-B2FC-09C1F2FC68E3}">
  <dimension ref="A1:S17"/>
  <sheetViews>
    <sheetView workbookViewId="0">
      <selection activeCell="A6" sqref="A6"/>
    </sheetView>
  </sheetViews>
  <sheetFormatPr defaultRowHeight="14.5"/>
  <cols>
    <col min="1" max="1" width="8.54296875" bestFit="1" customWidth="1"/>
    <col min="3" max="3" width="36.36328125" customWidth="1"/>
    <col min="4" max="5" width="8.453125" bestFit="1" customWidth="1"/>
    <col min="6" max="6" width="8.54296875" bestFit="1" customWidth="1"/>
    <col min="8" max="19" width="7.54296875" bestFit="1" customWidth="1"/>
  </cols>
  <sheetData>
    <row r="1" spans="1:19" ht="126">
      <c r="A1" s="20" t="s">
        <v>24</v>
      </c>
      <c r="B1" s="20" t="s">
        <v>25</v>
      </c>
      <c r="C1" s="20" t="s">
        <v>189</v>
      </c>
      <c r="D1" s="20" t="s">
        <v>190</v>
      </c>
      <c r="E1" s="20" t="s">
        <v>203</v>
      </c>
      <c r="F1" s="20" t="s">
        <v>204</v>
      </c>
      <c r="G1" s="20" t="s">
        <v>30</v>
      </c>
      <c r="H1" s="20" t="s">
        <v>31</v>
      </c>
      <c r="I1" s="20" t="s">
        <v>175</v>
      </c>
      <c r="J1" s="20" t="s">
        <v>33</v>
      </c>
      <c r="K1" s="20" t="s">
        <v>34</v>
      </c>
      <c r="L1" s="20" t="s">
        <v>35</v>
      </c>
      <c r="M1" s="20" t="s">
        <v>176</v>
      </c>
      <c r="N1" s="20" t="s">
        <v>37</v>
      </c>
      <c r="O1" s="20" t="s">
        <v>177</v>
      </c>
      <c r="P1" s="20" t="s">
        <v>39</v>
      </c>
      <c r="Q1" s="20" t="s">
        <v>40</v>
      </c>
      <c r="R1" s="20" t="s">
        <v>41</v>
      </c>
      <c r="S1" s="20" t="s">
        <v>42</v>
      </c>
    </row>
    <row r="2" spans="1:19" ht="15" thickBot="1">
      <c r="A2" s="2" t="s">
        <v>43</v>
      </c>
      <c r="B2" s="2" t="s">
        <v>43</v>
      </c>
      <c r="C2" s="8" t="s">
        <v>205</v>
      </c>
      <c r="D2" s="9">
        <v>2528</v>
      </c>
      <c r="E2" s="17">
        <v>0.22</v>
      </c>
      <c r="F2" s="17">
        <f t="shared" ref="F2:F12" si="0">MIN(100%,ROUND(E2*1.6,3))</f>
        <v>0.35199999999999998</v>
      </c>
      <c r="G2" s="2" t="str">
        <f t="shared" ref="G2:G12" si="1">IF(F2&gt;35%,"Tinggi",IF(F2&gt;=20%,"Sedang","Rendah"))</f>
        <v>Tinggi</v>
      </c>
      <c r="H2" s="17">
        <f t="shared" ref="H2:H12" si="2">MIN(100%,ROUND($E2*1.1,3))</f>
        <v>0.24199999999999999</v>
      </c>
      <c r="I2" s="17">
        <f t="shared" ref="I2:I12" si="3">MIN(100%,ROUND($E2*1.15,3))</f>
        <v>0.253</v>
      </c>
      <c r="J2" s="17">
        <f t="shared" ref="J2:J12" si="4">MIN(100%,ROUND($E2*1.1,3))</f>
        <v>0.24199999999999999</v>
      </c>
      <c r="K2" s="17">
        <f t="shared" ref="K2:K12" si="5">MIN(100%,ROUND($E2*1,3))</f>
        <v>0.22</v>
      </c>
      <c r="L2" s="17">
        <f t="shared" ref="L2:L12" si="6">MIN(100%,ROUND($E2*0.9,3))</f>
        <v>0.19800000000000001</v>
      </c>
      <c r="M2" s="17">
        <f t="shared" ref="M2:M12" si="7">MIN(100%,ROUND($E2*0.8,3))</f>
        <v>0.17599999999999999</v>
      </c>
      <c r="N2" s="17">
        <f t="shared" ref="N2:N12" si="8">MIN(100%,ROUND($E2*0.75,3))</f>
        <v>0.16500000000000001</v>
      </c>
      <c r="O2" s="17">
        <f t="shared" ref="O2:O12" si="9">MIN(100%,ROUND($E2*0.8,3))</f>
        <v>0.17599999999999999</v>
      </c>
      <c r="P2" s="17">
        <f t="shared" ref="P2:P12" si="10">MIN(100%,ROUND($E2*0.9,3))</f>
        <v>0.19800000000000001</v>
      </c>
      <c r="Q2" s="17">
        <f t="shared" ref="Q2:Q12" si="11">MIN(100%,ROUND($E2*1,3))</f>
        <v>0.22</v>
      </c>
      <c r="R2" s="17">
        <f t="shared" ref="R2:R12" si="12">MIN(100%,ROUND($E2*1.05,3))</f>
        <v>0.23100000000000001</v>
      </c>
      <c r="S2" s="17">
        <f t="shared" ref="S2:S12" si="13">MIN(100%,ROUND($E2*1.1,3))</f>
        <v>0.24199999999999999</v>
      </c>
    </row>
    <row r="3" spans="1:19" ht="15" thickBot="1">
      <c r="A3" s="6" t="s">
        <v>43</v>
      </c>
      <c r="B3" s="6" t="s">
        <v>46</v>
      </c>
      <c r="C3" s="7" t="s">
        <v>206</v>
      </c>
      <c r="D3" s="10">
        <v>299</v>
      </c>
      <c r="E3" s="18">
        <v>0.22</v>
      </c>
      <c r="F3" s="18">
        <f t="shared" si="0"/>
        <v>0.35199999999999998</v>
      </c>
      <c r="G3" s="6" t="str">
        <f t="shared" si="1"/>
        <v>Tinggi</v>
      </c>
      <c r="H3" s="18">
        <f t="shared" si="2"/>
        <v>0.24199999999999999</v>
      </c>
      <c r="I3" s="18">
        <f t="shared" si="3"/>
        <v>0.253</v>
      </c>
      <c r="J3" s="18">
        <f t="shared" si="4"/>
        <v>0.24199999999999999</v>
      </c>
      <c r="K3" s="18">
        <f t="shared" si="5"/>
        <v>0.22</v>
      </c>
      <c r="L3" s="18">
        <f t="shared" si="6"/>
        <v>0.19800000000000001</v>
      </c>
      <c r="M3" s="18">
        <f t="shared" si="7"/>
        <v>0.17599999999999999</v>
      </c>
      <c r="N3" s="18">
        <f t="shared" si="8"/>
        <v>0.16500000000000001</v>
      </c>
      <c r="O3" s="18">
        <f t="shared" si="9"/>
        <v>0.17599999999999999</v>
      </c>
      <c r="P3" s="18">
        <f t="shared" si="10"/>
        <v>0.19800000000000001</v>
      </c>
      <c r="Q3" s="18">
        <f t="shared" si="11"/>
        <v>0.22</v>
      </c>
      <c r="R3" s="18">
        <f t="shared" si="12"/>
        <v>0.23100000000000001</v>
      </c>
      <c r="S3" s="18">
        <f t="shared" si="13"/>
        <v>0.24199999999999999</v>
      </c>
    </row>
    <row r="4" spans="1:19" ht="28.5" thickBot="1">
      <c r="A4" s="6" t="s">
        <v>43</v>
      </c>
      <c r="B4" s="6" t="s">
        <v>48</v>
      </c>
      <c r="C4" s="7" t="s">
        <v>193</v>
      </c>
      <c r="D4" s="10">
        <v>370</v>
      </c>
      <c r="E4" s="18">
        <v>0.22</v>
      </c>
      <c r="F4" s="18">
        <f t="shared" si="0"/>
        <v>0.35199999999999998</v>
      </c>
      <c r="G4" s="6" t="str">
        <f t="shared" si="1"/>
        <v>Tinggi</v>
      </c>
      <c r="H4" s="18">
        <f t="shared" si="2"/>
        <v>0.24199999999999999</v>
      </c>
      <c r="I4" s="18">
        <f t="shared" si="3"/>
        <v>0.253</v>
      </c>
      <c r="J4" s="18">
        <f t="shared" si="4"/>
        <v>0.24199999999999999</v>
      </c>
      <c r="K4" s="18">
        <f t="shared" si="5"/>
        <v>0.22</v>
      </c>
      <c r="L4" s="18">
        <f t="shared" si="6"/>
        <v>0.19800000000000001</v>
      </c>
      <c r="M4" s="18">
        <f t="shared" si="7"/>
        <v>0.17599999999999999</v>
      </c>
      <c r="N4" s="18">
        <f t="shared" si="8"/>
        <v>0.16500000000000001</v>
      </c>
      <c r="O4" s="18">
        <f t="shared" si="9"/>
        <v>0.17599999999999999</v>
      </c>
      <c r="P4" s="18">
        <f t="shared" si="10"/>
        <v>0.19800000000000001</v>
      </c>
      <c r="Q4" s="18">
        <f t="shared" si="11"/>
        <v>0.22</v>
      </c>
      <c r="R4" s="18">
        <f t="shared" si="12"/>
        <v>0.23100000000000001</v>
      </c>
      <c r="S4" s="18">
        <f t="shared" si="13"/>
        <v>0.24199999999999999</v>
      </c>
    </row>
    <row r="5" spans="1:19" ht="28.5" thickBot="1">
      <c r="A5" s="6" t="s">
        <v>51</v>
      </c>
      <c r="B5" s="6" t="s">
        <v>52</v>
      </c>
      <c r="C5" s="7" t="s">
        <v>194</v>
      </c>
      <c r="D5" s="10">
        <v>159</v>
      </c>
      <c r="E5" s="18">
        <v>0.22</v>
      </c>
      <c r="F5" s="18">
        <f t="shared" si="0"/>
        <v>0.35199999999999998</v>
      </c>
      <c r="G5" s="6" t="str">
        <f t="shared" si="1"/>
        <v>Tinggi</v>
      </c>
      <c r="H5" s="18">
        <f t="shared" si="2"/>
        <v>0.24199999999999999</v>
      </c>
      <c r="I5" s="18">
        <f t="shared" si="3"/>
        <v>0.253</v>
      </c>
      <c r="J5" s="18">
        <f t="shared" si="4"/>
        <v>0.24199999999999999</v>
      </c>
      <c r="K5" s="18">
        <f t="shared" si="5"/>
        <v>0.22</v>
      </c>
      <c r="L5" s="18">
        <f t="shared" si="6"/>
        <v>0.19800000000000001</v>
      </c>
      <c r="M5" s="18">
        <f t="shared" si="7"/>
        <v>0.17599999999999999</v>
      </c>
      <c r="N5" s="18">
        <f t="shared" si="8"/>
        <v>0.16500000000000001</v>
      </c>
      <c r="O5" s="18">
        <f t="shared" si="9"/>
        <v>0.17599999999999999</v>
      </c>
      <c r="P5" s="18">
        <f t="shared" si="10"/>
        <v>0.19800000000000001</v>
      </c>
      <c r="Q5" s="18">
        <f t="shared" si="11"/>
        <v>0.22</v>
      </c>
      <c r="R5" s="18">
        <f t="shared" si="12"/>
        <v>0.23100000000000001</v>
      </c>
      <c r="S5" s="18">
        <f t="shared" si="13"/>
        <v>0.24199999999999999</v>
      </c>
    </row>
    <row r="6" spans="1:19" ht="28.5" thickBot="1">
      <c r="A6" s="6" t="s">
        <v>51</v>
      </c>
      <c r="B6" s="6" t="s">
        <v>51</v>
      </c>
      <c r="C6" s="7" t="s">
        <v>195</v>
      </c>
      <c r="D6" s="10">
        <v>697</v>
      </c>
      <c r="E6" s="18">
        <v>0.22</v>
      </c>
      <c r="F6" s="18">
        <f t="shared" si="0"/>
        <v>0.35199999999999998</v>
      </c>
      <c r="G6" s="6" t="str">
        <f t="shared" si="1"/>
        <v>Tinggi</v>
      </c>
      <c r="H6" s="18">
        <f t="shared" si="2"/>
        <v>0.24199999999999999</v>
      </c>
      <c r="I6" s="18">
        <f t="shared" si="3"/>
        <v>0.253</v>
      </c>
      <c r="J6" s="18">
        <f t="shared" si="4"/>
        <v>0.24199999999999999</v>
      </c>
      <c r="K6" s="18">
        <f t="shared" si="5"/>
        <v>0.22</v>
      </c>
      <c r="L6" s="18">
        <f t="shared" si="6"/>
        <v>0.19800000000000001</v>
      </c>
      <c r="M6" s="18">
        <f t="shared" si="7"/>
        <v>0.17599999999999999</v>
      </c>
      <c r="N6" s="18">
        <f t="shared" si="8"/>
        <v>0.16500000000000001</v>
      </c>
      <c r="O6" s="18">
        <f t="shared" si="9"/>
        <v>0.17599999999999999</v>
      </c>
      <c r="P6" s="18">
        <f t="shared" si="10"/>
        <v>0.19800000000000001</v>
      </c>
      <c r="Q6" s="18">
        <f t="shared" si="11"/>
        <v>0.22</v>
      </c>
      <c r="R6" s="18">
        <f t="shared" si="12"/>
        <v>0.23100000000000001</v>
      </c>
      <c r="S6" s="18">
        <f t="shared" si="13"/>
        <v>0.24199999999999999</v>
      </c>
    </row>
    <row r="7" spans="1:19" ht="28.5" thickBot="1">
      <c r="A7" s="6" t="s">
        <v>51</v>
      </c>
      <c r="B7" s="6" t="s">
        <v>55</v>
      </c>
      <c r="C7" s="7" t="s">
        <v>196</v>
      </c>
      <c r="D7" s="10">
        <v>2350</v>
      </c>
      <c r="E7" s="18">
        <v>0.22</v>
      </c>
      <c r="F7" s="18">
        <f t="shared" si="0"/>
        <v>0.35199999999999998</v>
      </c>
      <c r="G7" s="6" t="str">
        <f t="shared" si="1"/>
        <v>Tinggi</v>
      </c>
      <c r="H7" s="18">
        <f t="shared" si="2"/>
        <v>0.24199999999999999</v>
      </c>
      <c r="I7" s="18">
        <f t="shared" si="3"/>
        <v>0.253</v>
      </c>
      <c r="J7" s="18">
        <f t="shared" si="4"/>
        <v>0.24199999999999999</v>
      </c>
      <c r="K7" s="18">
        <f t="shared" si="5"/>
        <v>0.22</v>
      </c>
      <c r="L7" s="18">
        <f t="shared" si="6"/>
        <v>0.19800000000000001</v>
      </c>
      <c r="M7" s="18">
        <f t="shared" si="7"/>
        <v>0.17599999999999999</v>
      </c>
      <c r="N7" s="18">
        <f t="shared" si="8"/>
        <v>0.16500000000000001</v>
      </c>
      <c r="O7" s="18">
        <f t="shared" si="9"/>
        <v>0.17599999999999999</v>
      </c>
      <c r="P7" s="18">
        <f t="shared" si="10"/>
        <v>0.19800000000000001</v>
      </c>
      <c r="Q7" s="18">
        <f t="shared" si="11"/>
        <v>0.22</v>
      </c>
      <c r="R7" s="18">
        <f t="shared" si="12"/>
        <v>0.23100000000000001</v>
      </c>
      <c r="S7" s="18">
        <f t="shared" si="13"/>
        <v>0.24199999999999999</v>
      </c>
    </row>
    <row r="8" spans="1:19" ht="28.5" thickBot="1">
      <c r="A8" s="6" t="s">
        <v>59</v>
      </c>
      <c r="B8" s="6" t="s">
        <v>59</v>
      </c>
      <c r="C8" s="7" t="s">
        <v>197</v>
      </c>
      <c r="D8" s="10">
        <v>101</v>
      </c>
      <c r="E8" s="18">
        <v>0.22</v>
      </c>
      <c r="F8" s="18">
        <f t="shared" si="0"/>
        <v>0.35199999999999998</v>
      </c>
      <c r="G8" s="6" t="str">
        <f t="shared" si="1"/>
        <v>Tinggi</v>
      </c>
      <c r="H8" s="18">
        <f t="shared" si="2"/>
        <v>0.24199999999999999</v>
      </c>
      <c r="I8" s="18">
        <f t="shared" si="3"/>
        <v>0.253</v>
      </c>
      <c r="J8" s="18">
        <f t="shared" si="4"/>
        <v>0.24199999999999999</v>
      </c>
      <c r="K8" s="18">
        <f t="shared" si="5"/>
        <v>0.22</v>
      </c>
      <c r="L8" s="18">
        <f t="shared" si="6"/>
        <v>0.19800000000000001</v>
      </c>
      <c r="M8" s="18">
        <f t="shared" si="7"/>
        <v>0.17599999999999999</v>
      </c>
      <c r="N8" s="18">
        <f t="shared" si="8"/>
        <v>0.16500000000000001</v>
      </c>
      <c r="O8" s="18">
        <f t="shared" si="9"/>
        <v>0.17599999999999999</v>
      </c>
      <c r="P8" s="18">
        <f t="shared" si="10"/>
        <v>0.19800000000000001</v>
      </c>
      <c r="Q8" s="18">
        <f t="shared" si="11"/>
        <v>0.22</v>
      </c>
      <c r="R8" s="18">
        <f t="shared" si="12"/>
        <v>0.23100000000000001</v>
      </c>
      <c r="S8" s="18">
        <f t="shared" si="13"/>
        <v>0.24199999999999999</v>
      </c>
    </row>
    <row r="9" spans="1:19" ht="28.5" thickBot="1">
      <c r="A9" s="6" t="s">
        <v>99</v>
      </c>
      <c r="B9" s="6" t="s">
        <v>100</v>
      </c>
      <c r="C9" s="7" t="s">
        <v>207</v>
      </c>
      <c r="D9" s="10">
        <v>4411</v>
      </c>
      <c r="E9" s="18">
        <v>0.22</v>
      </c>
      <c r="F9" s="18">
        <f t="shared" si="0"/>
        <v>0.35199999999999998</v>
      </c>
      <c r="G9" s="6" t="str">
        <f t="shared" si="1"/>
        <v>Tinggi</v>
      </c>
      <c r="H9" s="18">
        <f t="shared" si="2"/>
        <v>0.24199999999999999</v>
      </c>
      <c r="I9" s="18">
        <f t="shared" si="3"/>
        <v>0.253</v>
      </c>
      <c r="J9" s="18">
        <f t="shared" si="4"/>
        <v>0.24199999999999999</v>
      </c>
      <c r="K9" s="18">
        <f t="shared" si="5"/>
        <v>0.22</v>
      </c>
      <c r="L9" s="18">
        <f t="shared" si="6"/>
        <v>0.19800000000000001</v>
      </c>
      <c r="M9" s="18">
        <f t="shared" si="7"/>
        <v>0.17599999999999999</v>
      </c>
      <c r="N9" s="18">
        <f t="shared" si="8"/>
        <v>0.16500000000000001</v>
      </c>
      <c r="O9" s="18">
        <f t="shared" si="9"/>
        <v>0.17599999999999999</v>
      </c>
      <c r="P9" s="18">
        <f t="shared" si="10"/>
        <v>0.19800000000000001</v>
      </c>
      <c r="Q9" s="18">
        <f t="shared" si="11"/>
        <v>0.22</v>
      </c>
      <c r="R9" s="18">
        <f t="shared" si="12"/>
        <v>0.23100000000000001</v>
      </c>
      <c r="S9" s="18">
        <f t="shared" si="13"/>
        <v>0.24199999999999999</v>
      </c>
    </row>
    <row r="10" spans="1:19" ht="28.5" thickBot="1">
      <c r="A10" s="6" t="s">
        <v>99</v>
      </c>
      <c r="B10" s="6" t="s">
        <v>99</v>
      </c>
      <c r="C10" s="7" t="s">
        <v>208</v>
      </c>
      <c r="D10" s="10">
        <v>3461</v>
      </c>
      <c r="E10" s="18">
        <v>0.22</v>
      </c>
      <c r="F10" s="18">
        <f t="shared" si="0"/>
        <v>0.35199999999999998</v>
      </c>
      <c r="G10" s="6" t="str">
        <f t="shared" si="1"/>
        <v>Tinggi</v>
      </c>
      <c r="H10" s="18">
        <f t="shared" si="2"/>
        <v>0.24199999999999999</v>
      </c>
      <c r="I10" s="18">
        <f t="shared" si="3"/>
        <v>0.253</v>
      </c>
      <c r="J10" s="18">
        <f t="shared" si="4"/>
        <v>0.24199999999999999</v>
      </c>
      <c r="K10" s="18">
        <f t="shared" si="5"/>
        <v>0.22</v>
      </c>
      <c r="L10" s="18">
        <f t="shared" si="6"/>
        <v>0.19800000000000001</v>
      </c>
      <c r="M10" s="18">
        <f t="shared" si="7"/>
        <v>0.17599999999999999</v>
      </c>
      <c r="N10" s="18">
        <f t="shared" si="8"/>
        <v>0.16500000000000001</v>
      </c>
      <c r="O10" s="18">
        <f t="shared" si="9"/>
        <v>0.17599999999999999</v>
      </c>
      <c r="P10" s="18">
        <f t="shared" si="10"/>
        <v>0.19800000000000001</v>
      </c>
      <c r="Q10" s="18">
        <f t="shared" si="11"/>
        <v>0.22</v>
      </c>
      <c r="R10" s="18">
        <f t="shared" si="12"/>
        <v>0.23100000000000001</v>
      </c>
      <c r="S10" s="18">
        <f t="shared" si="13"/>
        <v>0.24199999999999999</v>
      </c>
    </row>
    <row r="11" spans="1:19" ht="28.5" thickBot="1">
      <c r="A11" s="6" t="s">
        <v>99</v>
      </c>
      <c r="B11" s="6" t="s">
        <v>103</v>
      </c>
      <c r="C11" s="7" t="s">
        <v>198</v>
      </c>
      <c r="D11" s="10">
        <v>509</v>
      </c>
      <c r="E11" s="18">
        <v>0.22</v>
      </c>
      <c r="F11" s="18">
        <f t="shared" si="0"/>
        <v>0.35199999999999998</v>
      </c>
      <c r="G11" s="6" t="str">
        <f t="shared" si="1"/>
        <v>Tinggi</v>
      </c>
      <c r="H11" s="18">
        <f t="shared" si="2"/>
        <v>0.24199999999999999</v>
      </c>
      <c r="I11" s="18">
        <f t="shared" si="3"/>
        <v>0.253</v>
      </c>
      <c r="J11" s="18">
        <f t="shared" si="4"/>
        <v>0.24199999999999999</v>
      </c>
      <c r="K11" s="18">
        <f t="shared" si="5"/>
        <v>0.22</v>
      </c>
      <c r="L11" s="18">
        <f t="shared" si="6"/>
        <v>0.19800000000000001</v>
      </c>
      <c r="M11" s="18">
        <f t="shared" si="7"/>
        <v>0.17599999999999999</v>
      </c>
      <c r="N11" s="18">
        <f t="shared" si="8"/>
        <v>0.16500000000000001</v>
      </c>
      <c r="O11" s="18">
        <f t="shared" si="9"/>
        <v>0.17599999999999999</v>
      </c>
      <c r="P11" s="18">
        <f t="shared" si="10"/>
        <v>0.19800000000000001</v>
      </c>
      <c r="Q11" s="18">
        <f t="shared" si="11"/>
        <v>0.22</v>
      </c>
      <c r="R11" s="18">
        <f t="shared" si="12"/>
        <v>0.23100000000000001</v>
      </c>
      <c r="S11" s="18">
        <f t="shared" si="13"/>
        <v>0.24199999999999999</v>
      </c>
    </row>
    <row r="12" spans="1:19" ht="28">
      <c r="A12" s="6" t="s">
        <v>99</v>
      </c>
      <c r="B12" s="6" t="s">
        <v>105</v>
      </c>
      <c r="C12" s="7" t="s">
        <v>209</v>
      </c>
      <c r="D12" s="10">
        <v>371</v>
      </c>
      <c r="E12" s="18">
        <v>0.22</v>
      </c>
      <c r="F12" s="18">
        <f t="shared" si="0"/>
        <v>0.35199999999999998</v>
      </c>
      <c r="G12" s="6" t="str">
        <f t="shared" si="1"/>
        <v>Tinggi</v>
      </c>
      <c r="H12" s="18">
        <f t="shared" si="2"/>
        <v>0.24199999999999999</v>
      </c>
      <c r="I12" s="18">
        <f t="shared" si="3"/>
        <v>0.253</v>
      </c>
      <c r="J12" s="18">
        <f t="shared" si="4"/>
        <v>0.24199999999999999</v>
      </c>
      <c r="K12" s="18">
        <f t="shared" si="5"/>
        <v>0.22</v>
      </c>
      <c r="L12" s="18">
        <f t="shared" si="6"/>
        <v>0.19800000000000001</v>
      </c>
      <c r="M12" s="18">
        <f t="shared" si="7"/>
        <v>0.17599999999999999</v>
      </c>
      <c r="N12" s="18">
        <f t="shared" si="8"/>
        <v>0.16500000000000001</v>
      </c>
      <c r="O12" s="18">
        <f t="shared" si="9"/>
        <v>0.17599999999999999</v>
      </c>
      <c r="P12" s="18">
        <f t="shared" si="10"/>
        <v>0.19800000000000001</v>
      </c>
      <c r="Q12" s="18">
        <f t="shared" si="11"/>
        <v>0.22</v>
      </c>
      <c r="R12" s="18">
        <f t="shared" si="12"/>
        <v>0.23100000000000001</v>
      </c>
      <c r="S12" s="18">
        <f t="shared" si="13"/>
        <v>0.24199999999999999</v>
      </c>
    </row>
    <row r="13" spans="1:19">
      <c r="C13" s="13"/>
    </row>
    <row r="14" spans="1:19">
      <c r="C14" s="13"/>
    </row>
    <row r="15" spans="1:19">
      <c r="C15" s="13"/>
    </row>
    <row r="16" spans="1:19">
      <c r="C16" s="13"/>
    </row>
    <row r="17" spans="3:3">
      <c r="C17" s="13"/>
    </row>
  </sheetData>
  <conditionalFormatting sqref="G2:G12">
    <cfRule type="expression" dxfId="38" priority="1">
      <formula>$G2="Tinggi"</formula>
    </cfRule>
    <cfRule type="expression" dxfId="37" priority="2">
      <formula>$G2="Sedang"</formula>
    </cfRule>
    <cfRule type="expression" dxfId="36" priority="3">
      <formula>$G2="Rendah"</formula>
    </cfRule>
  </conditionalFormatting>
  <conditionalFormatting sqref="E2:S12">
    <cfRule type="colorScale" priority="588">
      <colorScale>
        <cfvo type="min"/>
        <cfvo type="percentile" val="50"/>
        <cfvo type="max"/>
        <color rgb="FFFFFFFF"/>
        <color rgb="FFFFD966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C54EA-14A9-4052-BD54-3DFC06A63E27}">
  <dimension ref="A1:S31"/>
  <sheetViews>
    <sheetView workbookViewId="0">
      <selection activeCell="B11" sqref="B11:B12"/>
    </sheetView>
  </sheetViews>
  <sheetFormatPr defaultRowHeight="14.5"/>
  <cols>
    <col min="1" max="1" width="12" bestFit="1" customWidth="1"/>
    <col min="2" max="2" width="14.453125" bestFit="1" customWidth="1"/>
    <col min="3" max="3" width="36.36328125" customWidth="1"/>
    <col min="4" max="4" width="8.26953125" bestFit="1" customWidth="1"/>
    <col min="5" max="6" width="11.90625" bestFit="1" customWidth="1"/>
    <col min="7" max="7" width="8.7265625" bestFit="1" customWidth="1"/>
    <col min="8" max="19" width="7.54296875" bestFit="1" customWidth="1"/>
  </cols>
  <sheetData>
    <row r="1" spans="1:19" ht="84">
      <c r="A1" s="20" t="s">
        <v>24</v>
      </c>
      <c r="B1" s="20" t="s">
        <v>25</v>
      </c>
      <c r="C1" s="20" t="s">
        <v>210</v>
      </c>
      <c r="D1" s="20" t="s">
        <v>211</v>
      </c>
      <c r="E1" s="20" t="s">
        <v>212</v>
      </c>
      <c r="F1" s="20" t="s">
        <v>213</v>
      </c>
      <c r="G1" s="20" t="s">
        <v>30</v>
      </c>
      <c r="H1" s="20" t="s">
        <v>31</v>
      </c>
      <c r="I1" s="20" t="s">
        <v>175</v>
      </c>
      <c r="J1" s="20" t="s">
        <v>33</v>
      </c>
      <c r="K1" s="20" t="s">
        <v>34</v>
      </c>
      <c r="L1" s="20" t="s">
        <v>35</v>
      </c>
      <c r="M1" s="20" t="s">
        <v>176</v>
      </c>
      <c r="N1" s="20" t="s">
        <v>37</v>
      </c>
      <c r="O1" s="20" t="s">
        <v>177</v>
      </c>
      <c r="P1" s="20" t="s">
        <v>39</v>
      </c>
      <c r="Q1" s="20" t="s">
        <v>40</v>
      </c>
      <c r="R1" s="20" t="s">
        <v>41</v>
      </c>
      <c r="S1" s="20" t="s">
        <v>42</v>
      </c>
    </row>
    <row r="2" spans="1:19" ht="28.5" thickBot="1">
      <c r="A2" s="2" t="s">
        <v>43</v>
      </c>
      <c r="B2" s="2" t="s">
        <v>43</v>
      </c>
      <c r="C2" s="8" t="s">
        <v>214</v>
      </c>
      <c r="D2" s="9">
        <v>2723</v>
      </c>
      <c r="E2" s="17">
        <v>0.32200000000000001</v>
      </c>
      <c r="F2" s="17">
        <f>MIN(100%,ROUND(E2*1.55,3))</f>
        <v>0.499</v>
      </c>
      <c r="G2" s="2" t="str">
        <f>IF(F2&gt;35%,"Tinggi",IF(F2&gt;=20%,"Sedang","Rendah"))</f>
        <v>Tinggi</v>
      </c>
      <c r="H2" s="17">
        <f>MIN(100%,ROUND($E2*0.7,3))</f>
        <v>0.22500000000000001</v>
      </c>
      <c r="I2" s="17">
        <f>MIN(100%,ROUND($E2*0.65,3))</f>
        <v>0.20899999999999999</v>
      </c>
      <c r="J2" s="17">
        <f>MIN(100%,ROUND($E2*0.75,3))</f>
        <v>0.24199999999999999</v>
      </c>
      <c r="K2" s="17">
        <f>MIN(100%,ROUND($E2*0.9,3))</f>
        <v>0.28999999999999998</v>
      </c>
      <c r="L2" s="17">
        <f>MIN(100%,ROUND($E2*1.05,3))</f>
        <v>0.33800000000000002</v>
      </c>
      <c r="M2" s="17">
        <f>MIN(100%,ROUND($E2*1.2,3))</f>
        <v>0.38600000000000001</v>
      </c>
      <c r="N2" s="17">
        <f>MIN(100%,ROUND($E2*1.3,3))</f>
        <v>0.41899999999999998</v>
      </c>
      <c r="O2" s="17">
        <f>MIN(100%,ROUND($E2*1.35,3))</f>
        <v>0.435</v>
      </c>
      <c r="P2" s="17">
        <f>MIN(100%,ROUND($E2*1.25,3))</f>
        <v>0.40300000000000002</v>
      </c>
      <c r="Q2" s="17">
        <f>MIN(100%,ROUND($E2*1.05,3))</f>
        <v>0.33800000000000002</v>
      </c>
      <c r="R2" s="17">
        <f>MIN(100%,ROUND($E2*0.85,3))</f>
        <v>0.27400000000000002</v>
      </c>
      <c r="S2" s="17">
        <f>MIN(100%,ROUND($E2*0.75,3))</f>
        <v>0.24199999999999999</v>
      </c>
    </row>
    <row r="3" spans="1:19" ht="28.5" thickBot="1">
      <c r="A3" s="6" t="s">
        <v>99</v>
      </c>
      <c r="B3" s="6" t="s">
        <v>100</v>
      </c>
      <c r="C3" s="7" t="s">
        <v>215</v>
      </c>
      <c r="D3" s="10">
        <v>2340</v>
      </c>
      <c r="E3" s="18">
        <v>0.26600000000000001</v>
      </c>
      <c r="F3" s="18">
        <f>MIN(100%,ROUND(E3*1.55,3))</f>
        <v>0.41199999999999998</v>
      </c>
      <c r="G3" s="6" t="str">
        <f>IF(F3&gt;35%,"Tinggi",IF(F3&gt;=20%,"Sedang","Rendah"))</f>
        <v>Tinggi</v>
      </c>
      <c r="H3" s="18">
        <f>MIN(100%,ROUND($E3*0.7,3))</f>
        <v>0.186</v>
      </c>
      <c r="I3" s="18">
        <f>MIN(100%,ROUND($E3*0.65,3))</f>
        <v>0.17299999999999999</v>
      </c>
      <c r="J3" s="18">
        <f>MIN(100%,ROUND($E3*0.75,3))</f>
        <v>0.2</v>
      </c>
      <c r="K3" s="18">
        <f>MIN(100%,ROUND($E3*0.9,3))</f>
        <v>0.23899999999999999</v>
      </c>
      <c r="L3" s="18">
        <f>MIN(100%,ROUND($E3*1.05,3))</f>
        <v>0.27900000000000003</v>
      </c>
      <c r="M3" s="18">
        <f>MIN(100%,ROUND($E3*1.2,3))</f>
        <v>0.31900000000000001</v>
      </c>
      <c r="N3" s="18">
        <f>MIN(100%,ROUND($E3*1.3,3))</f>
        <v>0.34599999999999997</v>
      </c>
      <c r="O3" s="18">
        <f>MIN(100%,ROUND($E3*1.35,3))</f>
        <v>0.35899999999999999</v>
      </c>
      <c r="P3" s="18">
        <f>MIN(100%,ROUND($E3*1.25,3))</f>
        <v>0.33300000000000002</v>
      </c>
      <c r="Q3" s="18">
        <f>MIN(100%,ROUND($E3*1.05,3))</f>
        <v>0.27900000000000003</v>
      </c>
      <c r="R3" s="18">
        <f>MIN(100%,ROUND($E3*0.85,3))</f>
        <v>0.22600000000000001</v>
      </c>
      <c r="S3" s="18">
        <f>MIN(100%,ROUND($E3*0.75,3))</f>
        <v>0.2</v>
      </c>
    </row>
    <row r="4" spans="1:19" ht="15" thickBot="1">
      <c r="A4" s="6" t="s">
        <v>99</v>
      </c>
      <c r="B4" s="6" t="s">
        <v>99</v>
      </c>
      <c r="C4" s="7" t="s">
        <v>216</v>
      </c>
      <c r="D4" s="10">
        <v>1900</v>
      </c>
      <c r="E4" s="18">
        <v>0.252</v>
      </c>
      <c r="F4" s="18">
        <f>MIN(100%,ROUND(E4*1.55,3))</f>
        <v>0.39100000000000001</v>
      </c>
      <c r="G4" s="6" t="str">
        <f>IF(F4&gt;35%,"Tinggi",IF(F4&gt;=20%,"Sedang","Rendah"))</f>
        <v>Tinggi</v>
      </c>
      <c r="H4" s="18">
        <f>MIN(100%,ROUND($E4*0.7,3))</f>
        <v>0.17599999999999999</v>
      </c>
      <c r="I4" s="18">
        <f>MIN(100%,ROUND($E4*0.65,3))</f>
        <v>0.16400000000000001</v>
      </c>
      <c r="J4" s="18">
        <f>MIN(100%,ROUND($E4*0.75,3))</f>
        <v>0.189</v>
      </c>
      <c r="K4" s="18">
        <f>MIN(100%,ROUND($E4*0.9,3))</f>
        <v>0.22700000000000001</v>
      </c>
      <c r="L4" s="18">
        <f>MIN(100%,ROUND($E4*1.05,3))</f>
        <v>0.26500000000000001</v>
      </c>
      <c r="M4" s="18">
        <f>MIN(100%,ROUND($E4*1.2,3))</f>
        <v>0.30199999999999999</v>
      </c>
      <c r="N4" s="18">
        <f>MIN(100%,ROUND($E4*1.3,3))</f>
        <v>0.32800000000000001</v>
      </c>
      <c r="O4" s="18">
        <f>MIN(100%,ROUND($E4*1.35,3))</f>
        <v>0.34</v>
      </c>
      <c r="P4" s="18">
        <f>MIN(100%,ROUND($E4*1.25,3))</f>
        <v>0.315</v>
      </c>
      <c r="Q4" s="18">
        <f>MIN(100%,ROUND($E4*1.05,3))</f>
        <v>0.26500000000000001</v>
      </c>
      <c r="R4" s="18">
        <f>MIN(100%,ROUND($E4*0.85,3))</f>
        <v>0.214</v>
      </c>
      <c r="S4" s="18">
        <f>MIN(100%,ROUND($E4*0.75,3))</f>
        <v>0.189</v>
      </c>
    </row>
    <row r="5" spans="1:19" ht="15" thickBot="1">
      <c r="A5" s="6" t="s">
        <v>99</v>
      </c>
      <c r="B5" s="6" t="s">
        <v>103</v>
      </c>
      <c r="C5" s="7" t="s">
        <v>217</v>
      </c>
      <c r="D5" s="10">
        <v>3582</v>
      </c>
      <c r="E5" s="18">
        <v>0.28000000000000003</v>
      </c>
      <c r="F5" s="18">
        <f>MIN(100%,ROUND(E5*1.55,3))</f>
        <v>0.434</v>
      </c>
      <c r="G5" s="6" t="str">
        <f>IF(F5&gt;35%,"Tinggi",IF(F5&gt;=20%,"Sedang","Rendah"))</f>
        <v>Tinggi</v>
      </c>
      <c r="H5" s="18">
        <f>MIN(100%,ROUND($E5*0.7,3))</f>
        <v>0.19600000000000001</v>
      </c>
      <c r="I5" s="18">
        <f>MIN(100%,ROUND($E5*0.65,3))</f>
        <v>0.182</v>
      </c>
      <c r="J5" s="18">
        <f>MIN(100%,ROUND($E5*0.75,3))</f>
        <v>0.21</v>
      </c>
      <c r="K5" s="18">
        <f>MIN(100%,ROUND($E5*0.9,3))</f>
        <v>0.252</v>
      </c>
      <c r="L5" s="18">
        <f>MIN(100%,ROUND($E5*1.05,3))</f>
        <v>0.29399999999999998</v>
      </c>
      <c r="M5" s="18">
        <f>MIN(100%,ROUND($E5*1.2,3))</f>
        <v>0.33600000000000002</v>
      </c>
      <c r="N5" s="18">
        <f>MIN(100%,ROUND($E5*1.3,3))</f>
        <v>0.36399999999999999</v>
      </c>
      <c r="O5" s="18">
        <f>MIN(100%,ROUND($E5*1.35,3))</f>
        <v>0.378</v>
      </c>
      <c r="P5" s="18">
        <f>MIN(100%,ROUND($E5*1.25,3))</f>
        <v>0.35</v>
      </c>
      <c r="Q5" s="18">
        <f>MIN(100%,ROUND($E5*1.05,3))</f>
        <v>0.29399999999999998</v>
      </c>
      <c r="R5" s="18">
        <f>MIN(100%,ROUND($E5*0.85,3))</f>
        <v>0.23799999999999999</v>
      </c>
      <c r="S5" s="18">
        <f>MIN(100%,ROUND($E5*0.75,3))</f>
        <v>0.21</v>
      </c>
    </row>
    <row r="6" spans="1:19" ht="15" thickBot="1">
      <c r="A6" s="6" t="s">
        <v>122</v>
      </c>
      <c r="B6" s="6" t="s">
        <v>128</v>
      </c>
      <c r="C6" s="7" t="s">
        <v>218</v>
      </c>
      <c r="D6" s="10">
        <v>1119</v>
      </c>
      <c r="E6" s="18">
        <v>0.29399999999999998</v>
      </c>
      <c r="F6" s="18">
        <f>MIN(100%,ROUND(E6*1.55,3))</f>
        <v>0.45600000000000002</v>
      </c>
      <c r="G6" s="6" t="str">
        <f>IF(F6&gt;35%,"Tinggi",IF(F6&gt;=20%,"Sedang","Rendah"))</f>
        <v>Tinggi</v>
      </c>
      <c r="H6" s="18">
        <f>MIN(100%,ROUND($E6*0.7,3))</f>
        <v>0.20599999999999999</v>
      </c>
      <c r="I6" s="18">
        <f>MIN(100%,ROUND($E6*0.65,3))</f>
        <v>0.191</v>
      </c>
      <c r="J6" s="18">
        <f>MIN(100%,ROUND($E6*0.75,3))</f>
        <v>0.221</v>
      </c>
      <c r="K6" s="18">
        <f>MIN(100%,ROUND($E6*0.9,3))</f>
        <v>0.26500000000000001</v>
      </c>
      <c r="L6" s="18">
        <f>MIN(100%,ROUND($E6*1.05,3))</f>
        <v>0.309</v>
      </c>
      <c r="M6" s="18">
        <f>MIN(100%,ROUND($E6*1.2,3))</f>
        <v>0.35299999999999998</v>
      </c>
      <c r="N6" s="18">
        <f>MIN(100%,ROUND($E6*1.3,3))</f>
        <v>0.38200000000000001</v>
      </c>
      <c r="O6" s="18">
        <f>MIN(100%,ROUND($E6*1.35,3))</f>
        <v>0.39700000000000002</v>
      </c>
      <c r="P6" s="18">
        <f>MIN(100%,ROUND($E6*1.25,3))</f>
        <v>0.36799999999999999</v>
      </c>
      <c r="Q6" s="18">
        <f>MIN(100%,ROUND($E6*1.05,3))</f>
        <v>0.309</v>
      </c>
      <c r="R6" s="18">
        <f>MIN(100%,ROUND($E6*0.85,3))</f>
        <v>0.25</v>
      </c>
      <c r="S6" s="18">
        <f>MIN(100%,ROUND($E6*0.75,3))</f>
        <v>0.221</v>
      </c>
    </row>
    <row r="7" spans="1:19" ht="15" thickBot="1">
      <c r="A7" s="6" t="s">
        <v>122</v>
      </c>
      <c r="B7" s="6" t="s">
        <v>124</v>
      </c>
      <c r="C7" s="7" t="s">
        <v>219</v>
      </c>
      <c r="D7" s="10">
        <v>692</v>
      </c>
      <c r="E7" s="18">
        <v>0.308</v>
      </c>
      <c r="F7" s="18">
        <f>MIN(100%,ROUND(E7*1.55,3))</f>
        <v>0.47699999999999998</v>
      </c>
      <c r="G7" s="6" t="str">
        <f>IF(F7&gt;35%,"Tinggi",IF(F7&gt;=20%,"Sedang","Rendah"))</f>
        <v>Tinggi</v>
      </c>
      <c r="H7" s="18">
        <f>MIN(100%,ROUND($E7*0.7,3))</f>
        <v>0.216</v>
      </c>
      <c r="I7" s="18">
        <f>MIN(100%,ROUND($E7*0.65,3))</f>
        <v>0.2</v>
      </c>
      <c r="J7" s="18">
        <f>MIN(100%,ROUND($E7*0.75,3))</f>
        <v>0.23100000000000001</v>
      </c>
      <c r="K7" s="18">
        <f>MIN(100%,ROUND($E7*0.9,3))</f>
        <v>0.27700000000000002</v>
      </c>
      <c r="L7" s="18">
        <f>MIN(100%,ROUND($E7*1.05,3))</f>
        <v>0.32300000000000001</v>
      </c>
      <c r="M7" s="18">
        <f>MIN(100%,ROUND($E7*1.2,3))</f>
        <v>0.37</v>
      </c>
      <c r="N7" s="18">
        <f>MIN(100%,ROUND($E7*1.3,3))</f>
        <v>0.4</v>
      </c>
      <c r="O7" s="18">
        <f>MIN(100%,ROUND($E7*1.35,3))</f>
        <v>0.41599999999999998</v>
      </c>
      <c r="P7" s="18">
        <f>MIN(100%,ROUND($E7*1.25,3))</f>
        <v>0.38500000000000001</v>
      </c>
      <c r="Q7" s="18">
        <f>MIN(100%,ROUND($E7*1.05,3))</f>
        <v>0.32300000000000001</v>
      </c>
      <c r="R7" s="18">
        <f>MIN(100%,ROUND($E7*0.85,3))</f>
        <v>0.26200000000000001</v>
      </c>
      <c r="S7" s="18">
        <f>MIN(100%,ROUND($E7*0.75,3))</f>
        <v>0.23100000000000001</v>
      </c>
    </row>
    <row r="8" spans="1:19" ht="28.5" thickBot="1">
      <c r="A8" s="6" t="s">
        <v>59</v>
      </c>
      <c r="B8" s="6" t="s">
        <v>63</v>
      </c>
      <c r="C8" s="7" t="s">
        <v>220</v>
      </c>
      <c r="D8" s="10">
        <v>781</v>
      </c>
      <c r="E8" s="18">
        <v>0.308</v>
      </c>
      <c r="F8" s="18">
        <f>MIN(100%,ROUND(E8*1.55,3))</f>
        <v>0.47699999999999998</v>
      </c>
      <c r="G8" s="6" t="str">
        <f>IF(F8&gt;35%,"Tinggi",IF(F8&gt;=20%,"Sedang","Rendah"))</f>
        <v>Tinggi</v>
      </c>
      <c r="H8" s="18">
        <f>MIN(100%,ROUND($E8*0.7,3))</f>
        <v>0.216</v>
      </c>
      <c r="I8" s="18">
        <f>MIN(100%,ROUND($E8*0.65,3))</f>
        <v>0.2</v>
      </c>
      <c r="J8" s="18">
        <f>MIN(100%,ROUND($E8*0.75,3))</f>
        <v>0.23100000000000001</v>
      </c>
      <c r="K8" s="18">
        <f>MIN(100%,ROUND($E8*0.9,3))</f>
        <v>0.27700000000000002</v>
      </c>
      <c r="L8" s="18">
        <f>MIN(100%,ROUND($E8*1.05,3))</f>
        <v>0.32300000000000001</v>
      </c>
      <c r="M8" s="18">
        <f>MIN(100%,ROUND($E8*1.2,3))</f>
        <v>0.37</v>
      </c>
      <c r="N8" s="18">
        <f>MIN(100%,ROUND($E8*1.3,3))</f>
        <v>0.4</v>
      </c>
      <c r="O8" s="18">
        <f>MIN(100%,ROUND($E8*1.35,3))</f>
        <v>0.41599999999999998</v>
      </c>
      <c r="P8" s="18">
        <f>MIN(100%,ROUND($E8*1.25,3))</f>
        <v>0.38500000000000001</v>
      </c>
      <c r="Q8" s="18">
        <f>MIN(100%,ROUND($E8*1.05,3))</f>
        <v>0.32300000000000001</v>
      </c>
      <c r="R8" s="18">
        <f>MIN(100%,ROUND($E8*0.85,3))</f>
        <v>0.26200000000000001</v>
      </c>
      <c r="S8" s="18">
        <f>MIN(100%,ROUND($E8*0.75,3))</f>
        <v>0.23100000000000001</v>
      </c>
    </row>
    <row r="9" spans="1:19" ht="28.5" thickBot="1">
      <c r="A9" s="6" t="s">
        <v>59</v>
      </c>
      <c r="B9" s="6" t="s">
        <v>59</v>
      </c>
      <c r="C9" s="7" t="s">
        <v>221</v>
      </c>
      <c r="D9" s="10">
        <v>1304</v>
      </c>
      <c r="E9" s="18">
        <v>0.26600000000000001</v>
      </c>
      <c r="F9" s="18">
        <f>MIN(100%,ROUND(E9*1.55,3))</f>
        <v>0.41199999999999998</v>
      </c>
      <c r="G9" s="6" t="str">
        <f>IF(F9&gt;35%,"Tinggi",IF(F9&gt;=20%,"Sedang","Rendah"))</f>
        <v>Tinggi</v>
      </c>
      <c r="H9" s="18">
        <f>MIN(100%,ROUND($E9*0.7,3))</f>
        <v>0.186</v>
      </c>
      <c r="I9" s="18">
        <f>MIN(100%,ROUND($E9*0.65,3))</f>
        <v>0.17299999999999999</v>
      </c>
      <c r="J9" s="18">
        <f>MIN(100%,ROUND($E9*0.75,3))</f>
        <v>0.2</v>
      </c>
      <c r="K9" s="18">
        <f>MIN(100%,ROUND($E9*0.9,3))</f>
        <v>0.23899999999999999</v>
      </c>
      <c r="L9" s="18">
        <f>MIN(100%,ROUND($E9*1.05,3))</f>
        <v>0.27900000000000003</v>
      </c>
      <c r="M9" s="18">
        <f>MIN(100%,ROUND($E9*1.2,3))</f>
        <v>0.31900000000000001</v>
      </c>
      <c r="N9" s="18">
        <f>MIN(100%,ROUND($E9*1.3,3))</f>
        <v>0.34599999999999997</v>
      </c>
      <c r="O9" s="18">
        <f>MIN(100%,ROUND($E9*1.35,3))</f>
        <v>0.35899999999999999</v>
      </c>
      <c r="P9" s="18">
        <f>MIN(100%,ROUND($E9*1.25,3))</f>
        <v>0.33300000000000002</v>
      </c>
      <c r="Q9" s="18">
        <f>MIN(100%,ROUND($E9*1.05,3))</f>
        <v>0.27900000000000003</v>
      </c>
      <c r="R9" s="18">
        <f>MIN(100%,ROUND($E9*0.85,3))</f>
        <v>0.22600000000000001</v>
      </c>
      <c r="S9" s="18">
        <f>MIN(100%,ROUND($E9*0.75,3))</f>
        <v>0.2</v>
      </c>
    </row>
    <row r="10" spans="1:19" ht="28">
      <c r="A10" s="6" t="s">
        <v>99</v>
      </c>
      <c r="B10" s="6" t="s">
        <v>105</v>
      </c>
      <c r="C10" s="7" t="s">
        <v>222</v>
      </c>
      <c r="D10" s="10">
        <v>2848</v>
      </c>
      <c r="E10" s="18">
        <v>0.28000000000000003</v>
      </c>
      <c r="F10" s="18">
        <f>MIN(100%,ROUND(E10*1.55,3))</f>
        <v>0.434</v>
      </c>
      <c r="G10" s="6" t="str">
        <f>IF(F10&gt;35%,"Tinggi",IF(F10&gt;=20%,"Sedang","Rendah"))</f>
        <v>Tinggi</v>
      </c>
      <c r="H10" s="18">
        <f>MIN(100%,ROUND($E10*0.7,3))</f>
        <v>0.19600000000000001</v>
      </c>
      <c r="I10" s="18">
        <f>MIN(100%,ROUND($E10*0.65,3))</f>
        <v>0.182</v>
      </c>
      <c r="J10" s="18">
        <f>MIN(100%,ROUND($E10*0.75,3))</f>
        <v>0.21</v>
      </c>
      <c r="K10" s="18">
        <f>MIN(100%,ROUND($E10*0.9,3))</f>
        <v>0.252</v>
      </c>
      <c r="L10" s="18">
        <f>MIN(100%,ROUND($E10*1.05,3))</f>
        <v>0.29399999999999998</v>
      </c>
      <c r="M10" s="18">
        <f>MIN(100%,ROUND($E10*1.2,3))</f>
        <v>0.33600000000000002</v>
      </c>
      <c r="N10" s="18">
        <f>MIN(100%,ROUND($E10*1.3,3))</f>
        <v>0.36399999999999999</v>
      </c>
      <c r="O10" s="18">
        <f>MIN(100%,ROUND($E10*1.35,3))</f>
        <v>0.378</v>
      </c>
      <c r="P10" s="18">
        <f>MIN(100%,ROUND($E10*1.25,3))</f>
        <v>0.35</v>
      </c>
      <c r="Q10" s="18">
        <f>MIN(100%,ROUND($E10*1.05,3))</f>
        <v>0.29399999999999998</v>
      </c>
      <c r="R10" s="18">
        <f>MIN(100%,ROUND($E10*0.85,3))</f>
        <v>0.23799999999999999</v>
      </c>
      <c r="S10" s="18">
        <f>MIN(100%,ROUND($E10*0.75,3))</f>
        <v>0.21</v>
      </c>
    </row>
    <row r="11" spans="1:19" ht="14.5" customHeight="1"/>
    <row r="12" spans="1:19" ht="14.5" customHeight="1"/>
    <row r="13" spans="1:19" ht="14.5" customHeight="1"/>
    <row r="14" spans="1:19" ht="14.5" customHeight="1"/>
    <row r="15" spans="1:19" ht="14.5" customHeight="1"/>
    <row r="16" spans="1:19" ht="14.5" customHeight="1"/>
    <row r="17" ht="14.5" customHeight="1"/>
    <row r="18" ht="14.5" customHeight="1"/>
    <row r="19" ht="14.5" customHeight="1"/>
    <row r="20" ht="14.5" customHeight="1"/>
    <row r="21" ht="14.5" customHeight="1"/>
    <row r="22" ht="14.5" customHeight="1"/>
    <row r="23" ht="14.5" customHeight="1"/>
    <row r="24" ht="14.5" customHeight="1"/>
    <row r="25" ht="14.5" customHeight="1"/>
    <row r="26" ht="14.5" customHeight="1"/>
    <row r="27" ht="14.5" customHeight="1"/>
    <row r="28" ht="14.5" customHeight="1"/>
    <row r="29" ht="14.5" customHeight="1"/>
    <row r="30" ht="14.5" customHeight="1"/>
    <row r="31" ht="14.5" customHeight="1"/>
  </sheetData>
  <conditionalFormatting sqref="G2:G10">
    <cfRule type="expression" dxfId="32" priority="1">
      <formula>$G2="Tinggi"</formula>
    </cfRule>
  </conditionalFormatting>
  <conditionalFormatting sqref="G2:G10">
    <cfRule type="expression" dxfId="31" priority="2">
      <formula>$G2="Sedang"</formula>
    </cfRule>
  </conditionalFormatting>
  <conditionalFormatting sqref="G2:G10">
    <cfRule type="expression" dxfId="30" priority="3">
      <formula>$G2="Rendah"</formula>
    </cfRule>
  </conditionalFormatting>
  <conditionalFormatting sqref="E2:S10">
    <cfRule type="colorScale" priority="4">
      <colorScale>
        <cfvo type="min"/>
        <cfvo type="percentile" val="50"/>
        <cfvo type="max"/>
        <color rgb="FFFFFFFF"/>
        <color rgb="FFFFD966"/>
        <color rgb="FF63BE7B"/>
      </colorScale>
    </cfRule>
  </conditionalFormatting>
  <pageMargins left="0.7" right="0.7" top="0.75" bottom="0.75" header="0.3" footer="0.3"/>
  <headerFooter>
    <oddFooter>&amp;R_x000D_&amp;1#&amp;"Aptos"&amp;22&amp;KFF8939 RESTRICTED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64D2F-1D5E-4C0E-B714-79866F486034}">
  <dimension ref="A1:Q10"/>
  <sheetViews>
    <sheetView workbookViewId="0">
      <selection activeCell="A10" sqref="A10"/>
    </sheetView>
  </sheetViews>
  <sheetFormatPr defaultRowHeight="14.5"/>
  <cols>
    <col min="1" max="1" width="9.36328125" bestFit="1" customWidth="1"/>
    <col min="2" max="2" width="12.7265625" bestFit="1" customWidth="1"/>
    <col min="3" max="3" width="36.36328125" customWidth="1"/>
    <col min="4" max="4" width="9.6328125" bestFit="1" customWidth="1"/>
    <col min="5" max="5" width="10.08984375" bestFit="1" customWidth="1"/>
    <col min="6" max="6" width="9.81640625" bestFit="1" customWidth="1"/>
    <col min="7" max="7" width="6" bestFit="1" customWidth="1"/>
    <col min="8" max="8" width="13.7265625" bestFit="1" customWidth="1"/>
    <col min="9" max="9" width="10.08984375" bestFit="1" customWidth="1"/>
    <col min="10" max="10" width="10.6328125" bestFit="1" customWidth="1"/>
    <col min="11" max="11" width="11.453125" bestFit="1" customWidth="1"/>
    <col min="12" max="12" width="9.1796875" bestFit="1" customWidth="1"/>
    <col min="13" max="13" width="11.453125" bestFit="1" customWidth="1"/>
    <col min="14" max="14" width="12.6328125" bestFit="1" customWidth="1"/>
    <col min="15" max="15" width="11.453125" bestFit="1" customWidth="1"/>
    <col min="16" max="16" width="10.54296875" bestFit="1" customWidth="1"/>
    <col min="17" max="17" width="11.453125" bestFit="1" customWidth="1"/>
  </cols>
  <sheetData>
    <row r="1" spans="1:17" ht="72.5">
      <c r="A1" s="11" t="s">
        <v>24</v>
      </c>
      <c r="B1" s="11" t="s">
        <v>25</v>
      </c>
      <c r="C1" s="11" t="s">
        <v>210</v>
      </c>
      <c r="D1" s="11" t="s">
        <v>211</v>
      </c>
      <c r="E1" s="11" t="s">
        <v>212</v>
      </c>
      <c r="F1" s="11" t="s">
        <v>213</v>
      </c>
      <c r="G1" s="11" t="s">
        <v>30</v>
      </c>
      <c r="H1" s="11" t="str">
        <f>"Produk 1 ("&amp;TEXT(MIN(I2:I10),"0%")&amp;"–"&amp;TEXT(MAX(I2:I10),"0%")&amp;")"</f>
        <v>Produk 1 (30%–30%)</v>
      </c>
      <c r="I1" s="11" t="s">
        <v>107</v>
      </c>
      <c r="J1" s="11" t="str">
        <f>"Produk 2 ("&amp;TEXT(MIN(K2:K10),"0%")&amp;"–"&amp;TEXT(MAX(K2:K10),"0%")&amp;")"</f>
        <v>Produk 2 (24%–24%)</v>
      </c>
      <c r="K1" s="11" t="s">
        <v>108</v>
      </c>
      <c r="L1" s="11" t="str">
        <f>"Produk 3 ("&amp;TEXT(MIN(M2:M10),"0%")&amp;"–"&amp;TEXT(MAX(M2:M10),"0%")&amp;")"</f>
        <v>Produk 3 (19%–19%)</v>
      </c>
      <c r="M1" s="11" t="s">
        <v>109</v>
      </c>
      <c r="N1" s="11" t="str">
        <f>"Produk 4 ("&amp;TEXT(MIN(O2:O10),"0%")&amp;"–"&amp;TEXT(MAX(O2:O10),"0%")&amp;")"</f>
        <v>Produk 4 (15%–15%)</v>
      </c>
      <c r="O1" s="11" t="s">
        <v>110</v>
      </c>
      <c r="P1" s="11" t="str">
        <f>"Produk 5 ("&amp;TEXT(MIN(Q2:Q10),"0%")&amp;"–"&amp;TEXT(MAX(Q2:Q10),"0%")&amp;")"</f>
        <v>Produk 5 (12%–12%)</v>
      </c>
      <c r="Q1" s="11" t="s">
        <v>111</v>
      </c>
    </row>
    <row r="2" spans="1:17" ht="29">
      <c r="A2" t="s">
        <v>43</v>
      </c>
      <c r="B2" t="s">
        <v>43</v>
      </c>
      <c r="C2" s="13" t="s">
        <v>214</v>
      </c>
      <c r="D2" s="19">
        <v>2723</v>
      </c>
      <c r="E2" s="12">
        <v>0.32200000000000001</v>
      </c>
      <c r="F2" s="12">
        <v>0.499</v>
      </c>
      <c r="G2" t="s">
        <v>65</v>
      </c>
      <c r="H2" t="s">
        <v>233</v>
      </c>
      <c r="I2" s="3">
        <v>0.3</v>
      </c>
      <c r="J2" t="s">
        <v>234</v>
      </c>
      <c r="K2" s="3">
        <v>0.24</v>
      </c>
      <c r="L2" t="s">
        <v>235</v>
      </c>
      <c r="M2" s="3">
        <v>0.19</v>
      </c>
      <c r="N2" t="s">
        <v>236</v>
      </c>
      <c r="O2" s="3">
        <v>0.15</v>
      </c>
      <c r="P2" t="s">
        <v>237</v>
      </c>
      <c r="Q2" s="3">
        <v>0.12</v>
      </c>
    </row>
    <row r="3" spans="1:17" ht="29">
      <c r="A3" t="s">
        <v>99</v>
      </c>
      <c r="B3" t="s">
        <v>100</v>
      </c>
      <c r="C3" s="13" t="s">
        <v>215</v>
      </c>
      <c r="D3" s="19">
        <v>2340</v>
      </c>
      <c r="E3" s="12">
        <v>0.26600000000000001</v>
      </c>
      <c r="F3" s="12">
        <v>0.41199999999999998</v>
      </c>
      <c r="G3" t="s">
        <v>65</v>
      </c>
      <c r="H3" t="s">
        <v>233</v>
      </c>
      <c r="I3" s="3">
        <v>0.3</v>
      </c>
      <c r="J3" t="s">
        <v>234</v>
      </c>
      <c r="K3" s="3">
        <v>0.24</v>
      </c>
      <c r="L3" t="s">
        <v>235</v>
      </c>
      <c r="M3" s="3">
        <v>0.19</v>
      </c>
      <c r="N3" t="s">
        <v>236</v>
      </c>
      <c r="O3" s="3">
        <v>0.15</v>
      </c>
      <c r="P3" t="s">
        <v>237</v>
      </c>
      <c r="Q3" s="3">
        <v>0.12</v>
      </c>
    </row>
    <row r="4" spans="1:17">
      <c r="A4" t="s">
        <v>99</v>
      </c>
      <c r="B4" t="s">
        <v>99</v>
      </c>
      <c r="C4" s="13" t="s">
        <v>216</v>
      </c>
      <c r="D4" s="19">
        <v>1900</v>
      </c>
      <c r="E4" s="12">
        <v>0.252</v>
      </c>
      <c r="F4" s="12">
        <v>0.39100000000000001</v>
      </c>
      <c r="G4" t="s">
        <v>65</v>
      </c>
      <c r="H4" t="s">
        <v>233</v>
      </c>
      <c r="I4" s="3">
        <v>0.3</v>
      </c>
      <c r="J4" t="s">
        <v>234</v>
      </c>
      <c r="K4" s="3">
        <v>0.24</v>
      </c>
      <c r="L4" t="s">
        <v>235</v>
      </c>
      <c r="M4" s="3">
        <v>0.19</v>
      </c>
      <c r="N4" t="s">
        <v>236</v>
      </c>
      <c r="O4" s="3">
        <v>0.15</v>
      </c>
      <c r="P4" t="s">
        <v>237</v>
      </c>
      <c r="Q4" s="3">
        <v>0.12</v>
      </c>
    </row>
    <row r="5" spans="1:17">
      <c r="A5" t="s">
        <v>99</v>
      </c>
      <c r="B5" t="s">
        <v>103</v>
      </c>
      <c r="C5" s="13" t="s">
        <v>217</v>
      </c>
      <c r="D5" s="19">
        <v>3582</v>
      </c>
      <c r="E5" s="12">
        <v>0.28000000000000003</v>
      </c>
      <c r="F5" s="12">
        <v>0.434</v>
      </c>
      <c r="G5" t="s">
        <v>65</v>
      </c>
      <c r="H5" t="s">
        <v>233</v>
      </c>
      <c r="I5" s="3">
        <v>0.3</v>
      </c>
      <c r="J5" t="s">
        <v>234</v>
      </c>
      <c r="K5" s="3">
        <v>0.24</v>
      </c>
      <c r="L5" t="s">
        <v>235</v>
      </c>
      <c r="M5" s="3">
        <v>0.19</v>
      </c>
      <c r="N5" t="s">
        <v>236</v>
      </c>
      <c r="O5" s="3">
        <v>0.15</v>
      </c>
      <c r="P5" t="s">
        <v>237</v>
      </c>
      <c r="Q5" s="3">
        <v>0.12</v>
      </c>
    </row>
    <row r="6" spans="1:17">
      <c r="A6" t="s">
        <v>122</v>
      </c>
      <c r="B6" t="s">
        <v>128</v>
      </c>
      <c r="C6" s="13" t="s">
        <v>218</v>
      </c>
      <c r="D6" s="19">
        <v>1119</v>
      </c>
      <c r="E6" s="12">
        <v>0.29399999999999998</v>
      </c>
      <c r="F6" s="12">
        <v>0.45600000000000002</v>
      </c>
      <c r="G6" t="s">
        <v>65</v>
      </c>
      <c r="H6" t="s">
        <v>233</v>
      </c>
      <c r="I6" s="3">
        <v>0.3</v>
      </c>
      <c r="J6" t="s">
        <v>234</v>
      </c>
      <c r="K6" s="3">
        <v>0.24</v>
      </c>
      <c r="L6" t="s">
        <v>235</v>
      </c>
      <c r="M6" s="3">
        <v>0.19</v>
      </c>
      <c r="N6" t="s">
        <v>236</v>
      </c>
      <c r="O6" s="3">
        <v>0.15</v>
      </c>
      <c r="P6" t="s">
        <v>237</v>
      </c>
      <c r="Q6" s="3">
        <v>0.12</v>
      </c>
    </row>
    <row r="7" spans="1:17">
      <c r="A7" t="s">
        <v>122</v>
      </c>
      <c r="B7" t="s">
        <v>124</v>
      </c>
      <c r="C7" s="13" t="s">
        <v>219</v>
      </c>
      <c r="D7" s="19">
        <v>692</v>
      </c>
      <c r="E7" s="12">
        <v>0.308</v>
      </c>
      <c r="F7" s="12">
        <v>0.47699999999999998</v>
      </c>
      <c r="G7" t="s">
        <v>65</v>
      </c>
      <c r="H7" t="s">
        <v>233</v>
      </c>
      <c r="I7" s="3">
        <v>0.3</v>
      </c>
      <c r="J7" t="s">
        <v>234</v>
      </c>
      <c r="K7" s="3">
        <v>0.24</v>
      </c>
      <c r="L7" t="s">
        <v>235</v>
      </c>
      <c r="M7" s="3">
        <v>0.19</v>
      </c>
      <c r="N7" t="s">
        <v>236</v>
      </c>
      <c r="O7" s="3">
        <v>0.15</v>
      </c>
      <c r="P7" t="s">
        <v>237</v>
      </c>
      <c r="Q7" s="3">
        <v>0.12</v>
      </c>
    </row>
    <row r="8" spans="1:17">
      <c r="A8" t="s">
        <v>59</v>
      </c>
      <c r="B8" t="s">
        <v>63</v>
      </c>
      <c r="C8" s="13" t="s">
        <v>220</v>
      </c>
      <c r="D8" s="19">
        <v>781</v>
      </c>
      <c r="E8" s="12">
        <v>0.308</v>
      </c>
      <c r="F8" s="12">
        <v>0.47699999999999998</v>
      </c>
      <c r="G8" t="s">
        <v>65</v>
      </c>
      <c r="H8" t="s">
        <v>233</v>
      </c>
      <c r="I8" s="3">
        <v>0.3</v>
      </c>
      <c r="J8" t="s">
        <v>234</v>
      </c>
      <c r="K8" s="3">
        <v>0.24</v>
      </c>
      <c r="L8" t="s">
        <v>235</v>
      </c>
      <c r="M8" s="3">
        <v>0.19</v>
      </c>
      <c r="N8" t="s">
        <v>236</v>
      </c>
      <c r="O8" s="3">
        <v>0.15</v>
      </c>
      <c r="P8" t="s">
        <v>237</v>
      </c>
      <c r="Q8" s="3">
        <v>0.12</v>
      </c>
    </row>
    <row r="9" spans="1:17">
      <c r="A9" t="s">
        <v>59</v>
      </c>
      <c r="B9" t="s">
        <v>59</v>
      </c>
      <c r="C9" s="13" t="s">
        <v>221</v>
      </c>
      <c r="D9" s="19">
        <v>1304</v>
      </c>
      <c r="E9" s="12">
        <v>0.26600000000000001</v>
      </c>
      <c r="F9" s="12">
        <v>0.41199999999999998</v>
      </c>
      <c r="G9" t="s">
        <v>65</v>
      </c>
      <c r="H9" t="s">
        <v>233</v>
      </c>
      <c r="I9" s="3">
        <v>0.3</v>
      </c>
      <c r="J9" t="s">
        <v>234</v>
      </c>
      <c r="K9" s="3">
        <v>0.24</v>
      </c>
      <c r="L9" t="s">
        <v>235</v>
      </c>
      <c r="M9" s="3">
        <v>0.19</v>
      </c>
      <c r="N9" t="s">
        <v>236</v>
      </c>
      <c r="O9" s="3">
        <v>0.15</v>
      </c>
      <c r="P9" t="s">
        <v>237</v>
      </c>
      <c r="Q9" s="3">
        <v>0.12</v>
      </c>
    </row>
    <row r="10" spans="1:17">
      <c r="A10" t="s">
        <v>99</v>
      </c>
      <c r="B10" t="s">
        <v>105</v>
      </c>
      <c r="C10" s="13" t="s">
        <v>222</v>
      </c>
      <c r="D10" s="19">
        <v>2848</v>
      </c>
      <c r="E10" s="12">
        <v>0.28000000000000003</v>
      </c>
      <c r="F10" s="12">
        <v>0.434</v>
      </c>
      <c r="G10" t="s">
        <v>65</v>
      </c>
      <c r="H10" t="s">
        <v>233</v>
      </c>
      <c r="I10" s="3">
        <v>0.3</v>
      </c>
      <c r="J10" t="s">
        <v>234</v>
      </c>
      <c r="K10" s="3">
        <v>0.24</v>
      </c>
      <c r="L10" t="s">
        <v>235</v>
      </c>
      <c r="M10" s="3">
        <v>0.19</v>
      </c>
      <c r="N10" t="s">
        <v>236</v>
      </c>
      <c r="O10" s="3">
        <v>0.15</v>
      </c>
      <c r="P10" t="s">
        <v>237</v>
      </c>
      <c r="Q10" s="3">
        <v>0.12</v>
      </c>
    </row>
  </sheetData>
  <pageMargins left="0.7" right="0.7" top="0.75" bottom="0.75" header="0.3" footer="0.3"/>
  <headerFooter>
    <oddFooter>&amp;R_x000D_&amp;1#&amp;"Aptos"&amp;22&amp;KFF8939 RESTRICTED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C1965-3381-4B0F-9A49-FD726BC48B98}">
  <dimension ref="A1:S10"/>
  <sheetViews>
    <sheetView workbookViewId="0"/>
  </sheetViews>
  <sheetFormatPr defaultRowHeight="14.5"/>
  <cols>
    <col min="1" max="2" width="8.54296875" bestFit="1" customWidth="1"/>
    <col min="3" max="3" width="36.36328125" customWidth="1"/>
    <col min="4" max="4" width="8.26953125" bestFit="1" customWidth="1"/>
    <col min="5" max="5" width="8.453125" bestFit="1" customWidth="1"/>
    <col min="6" max="6" width="8.54296875" bestFit="1" customWidth="1"/>
    <col min="8" max="19" width="7.54296875" bestFit="1" customWidth="1"/>
  </cols>
  <sheetData>
    <row r="1" spans="1:19" ht="112">
      <c r="A1" s="20" t="s">
        <v>24</v>
      </c>
      <c r="B1" s="20" t="s">
        <v>25</v>
      </c>
      <c r="C1" s="20" t="s">
        <v>210</v>
      </c>
      <c r="D1" s="20" t="s">
        <v>211</v>
      </c>
      <c r="E1" s="20" t="s">
        <v>223</v>
      </c>
      <c r="F1" s="20" t="s">
        <v>224</v>
      </c>
      <c r="G1" s="20" t="s">
        <v>30</v>
      </c>
      <c r="H1" s="20" t="s">
        <v>31</v>
      </c>
      <c r="I1" s="20" t="s">
        <v>175</v>
      </c>
      <c r="J1" s="20" t="s">
        <v>33</v>
      </c>
      <c r="K1" s="20" t="s">
        <v>34</v>
      </c>
      <c r="L1" s="20" t="s">
        <v>35</v>
      </c>
      <c r="M1" s="20" t="s">
        <v>176</v>
      </c>
      <c r="N1" s="20" t="s">
        <v>37</v>
      </c>
      <c r="O1" s="20" t="s">
        <v>177</v>
      </c>
      <c r="P1" s="20" t="s">
        <v>39</v>
      </c>
      <c r="Q1" s="20" t="s">
        <v>40</v>
      </c>
      <c r="R1" s="20" t="s">
        <v>41</v>
      </c>
      <c r="S1" s="20" t="s">
        <v>42</v>
      </c>
    </row>
    <row r="2" spans="1:19" ht="28.5" thickBot="1">
      <c r="A2" s="2" t="s">
        <v>43</v>
      </c>
      <c r="B2" s="2" t="s">
        <v>43</v>
      </c>
      <c r="C2" s="8" t="s">
        <v>214</v>
      </c>
      <c r="D2" s="9">
        <v>2723</v>
      </c>
      <c r="E2" s="17">
        <v>0.253</v>
      </c>
      <c r="F2" s="17">
        <f>MIN(100%,ROUND(E2*1.5,3))</f>
        <v>0.38</v>
      </c>
      <c r="G2" s="2" t="str">
        <f>IF(F2&gt;35%,"Tinggi",IF(F2&gt;=20%,"Sedang","Rendah"))</f>
        <v>Tinggi</v>
      </c>
      <c r="H2" s="17">
        <f>MIN(100%,ROUND($E2*0.65,3))</f>
        <v>0.16400000000000001</v>
      </c>
      <c r="I2" s="17">
        <f>MIN(100%,ROUND($E2*0.6,3))</f>
        <v>0.152</v>
      </c>
      <c r="J2" s="17">
        <f>MIN(100%,ROUND($E2*0.7,3))</f>
        <v>0.17699999999999999</v>
      </c>
      <c r="K2" s="17">
        <f>MIN(100%,ROUND($E2*0.85,3))</f>
        <v>0.215</v>
      </c>
      <c r="L2" s="17">
        <f>MIN(100%,ROUND($E2*1.05,3))</f>
        <v>0.26600000000000001</v>
      </c>
      <c r="M2" s="17">
        <f>MIN(100%,ROUND($E2*1.2,3))</f>
        <v>0.30399999999999999</v>
      </c>
      <c r="N2" s="17">
        <f>MIN(100%,ROUND($E2*1.3,3))</f>
        <v>0.32900000000000001</v>
      </c>
      <c r="O2" s="17">
        <f>MIN(100%,ROUND($E2*1.35,3))</f>
        <v>0.34200000000000003</v>
      </c>
      <c r="P2" s="17">
        <f>MIN(100%,ROUND($E2*1.25,3))</f>
        <v>0.316</v>
      </c>
      <c r="Q2" s="17">
        <f>MIN(100%,ROUND($E2*1,3))</f>
        <v>0.253</v>
      </c>
      <c r="R2" s="17">
        <f>MIN(100%,ROUND($E2*0.8,3))</f>
        <v>0.20200000000000001</v>
      </c>
      <c r="S2" s="17">
        <f>MIN(100%,ROUND($E2*0.7,3))</f>
        <v>0.17699999999999999</v>
      </c>
    </row>
    <row r="3" spans="1:19" ht="28.5" thickBot="1">
      <c r="A3" s="6" t="s">
        <v>99</v>
      </c>
      <c r="B3" s="6" t="s">
        <v>100</v>
      </c>
      <c r="C3" s="7" t="s">
        <v>215</v>
      </c>
      <c r="D3" s="10">
        <v>2340</v>
      </c>
      <c r="E3" s="18">
        <v>0.20899999999999999</v>
      </c>
      <c r="F3" s="18">
        <f>MIN(100%,ROUND(E3*1.5,3))</f>
        <v>0.314</v>
      </c>
      <c r="G3" s="6" t="str">
        <f>IF(F3&gt;35%,"Tinggi",IF(F3&gt;=20%,"Sedang","Rendah"))</f>
        <v>Sedang</v>
      </c>
      <c r="H3" s="18">
        <f>MIN(100%,ROUND($E3*0.65,3))</f>
        <v>0.13600000000000001</v>
      </c>
      <c r="I3" s="18">
        <f>MIN(100%,ROUND($E3*0.6,3))</f>
        <v>0.125</v>
      </c>
      <c r="J3" s="18">
        <f>MIN(100%,ROUND($E3*0.7,3))</f>
        <v>0.14599999999999999</v>
      </c>
      <c r="K3" s="18">
        <f>MIN(100%,ROUND($E3*0.85,3))</f>
        <v>0.17799999999999999</v>
      </c>
      <c r="L3" s="18">
        <f>MIN(100%,ROUND($E3*1.05,3))</f>
        <v>0.219</v>
      </c>
      <c r="M3" s="18">
        <f>MIN(100%,ROUND($E3*1.2,3))</f>
        <v>0.251</v>
      </c>
      <c r="N3" s="18">
        <f>MIN(100%,ROUND($E3*1.3,3))</f>
        <v>0.27200000000000002</v>
      </c>
      <c r="O3" s="18">
        <f>MIN(100%,ROUND($E3*1.35,3))</f>
        <v>0.28199999999999997</v>
      </c>
      <c r="P3" s="18">
        <f>MIN(100%,ROUND($E3*1.25,3))</f>
        <v>0.26100000000000001</v>
      </c>
      <c r="Q3" s="18">
        <f>MIN(100%,ROUND($E3*1,3))</f>
        <v>0.20899999999999999</v>
      </c>
      <c r="R3" s="18">
        <f>MIN(100%,ROUND($E3*0.8,3))</f>
        <v>0.16700000000000001</v>
      </c>
      <c r="S3" s="18">
        <f>MIN(100%,ROUND($E3*0.7,3))</f>
        <v>0.14599999999999999</v>
      </c>
    </row>
    <row r="4" spans="1:19" ht="28.5" thickBot="1">
      <c r="A4" s="6" t="s">
        <v>99</v>
      </c>
      <c r="B4" s="6" t="s">
        <v>99</v>
      </c>
      <c r="C4" s="7" t="s">
        <v>216</v>
      </c>
      <c r="D4" s="10">
        <v>1900</v>
      </c>
      <c r="E4" s="18">
        <v>0.19800000000000001</v>
      </c>
      <c r="F4" s="18">
        <f>MIN(100%,ROUND(E4*1.5,3))</f>
        <v>0.29699999999999999</v>
      </c>
      <c r="G4" s="6" t="str">
        <f>IF(F4&gt;35%,"Tinggi",IF(F4&gt;=20%,"Sedang","Rendah"))</f>
        <v>Sedang</v>
      </c>
      <c r="H4" s="18">
        <f>MIN(100%,ROUND($E4*0.65,3))</f>
        <v>0.129</v>
      </c>
      <c r="I4" s="18">
        <f>MIN(100%,ROUND($E4*0.6,3))</f>
        <v>0.11899999999999999</v>
      </c>
      <c r="J4" s="18">
        <f>MIN(100%,ROUND($E4*0.7,3))</f>
        <v>0.13900000000000001</v>
      </c>
      <c r="K4" s="18">
        <f>MIN(100%,ROUND($E4*0.85,3))</f>
        <v>0.16800000000000001</v>
      </c>
      <c r="L4" s="18">
        <f>MIN(100%,ROUND($E4*1.05,3))</f>
        <v>0.20799999999999999</v>
      </c>
      <c r="M4" s="18">
        <f>MIN(100%,ROUND($E4*1.2,3))</f>
        <v>0.23799999999999999</v>
      </c>
      <c r="N4" s="18">
        <f>MIN(100%,ROUND($E4*1.3,3))</f>
        <v>0.25700000000000001</v>
      </c>
      <c r="O4" s="18">
        <f>MIN(100%,ROUND($E4*1.35,3))</f>
        <v>0.26700000000000002</v>
      </c>
      <c r="P4" s="18">
        <f>MIN(100%,ROUND($E4*1.25,3))</f>
        <v>0.248</v>
      </c>
      <c r="Q4" s="18">
        <f>MIN(100%,ROUND($E4*1,3))</f>
        <v>0.19800000000000001</v>
      </c>
      <c r="R4" s="18">
        <f>MIN(100%,ROUND($E4*0.8,3))</f>
        <v>0.158</v>
      </c>
      <c r="S4" s="18">
        <f>MIN(100%,ROUND($E4*0.7,3))</f>
        <v>0.13900000000000001</v>
      </c>
    </row>
    <row r="5" spans="1:19" ht="28.5" thickBot="1">
      <c r="A5" s="6" t="s">
        <v>99</v>
      </c>
      <c r="B5" s="6" t="s">
        <v>103</v>
      </c>
      <c r="C5" s="7" t="s">
        <v>217</v>
      </c>
      <c r="D5" s="10">
        <v>3582</v>
      </c>
      <c r="E5" s="18">
        <v>0.22</v>
      </c>
      <c r="F5" s="18">
        <f>MIN(100%,ROUND(E5*1.5,3))</f>
        <v>0.33</v>
      </c>
      <c r="G5" s="6" t="str">
        <f>IF(F5&gt;35%,"Tinggi",IF(F5&gt;=20%,"Sedang","Rendah"))</f>
        <v>Sedang</v>
      </c>
      <c r="H5" s="18">
        <f>MIN(100%,ROUND($E5*0.65,3))</f>
        <v>0.14299999999999999</v>
      </c>
      <c r="I5" s="18">
        <f>MIN(100%,ROUND($E5*0.6,3))</f>
        <v>0.13200000000000001</v>
      </c>
      <c r="J5" s="18">
        <f>MIN(100%,ROUND($E5*0.7,3))</f>
        <v>0.154</v>
      </c>
      <c r="K5" s="18">
        <f>MIN(100%,ROUND($E5*0.85,3))</f>
        <v>0.187</v>
      </c>
      <c r="L5" s="18">
        <f>MIN(100%,ROUND($E5*1.05,3))</f>
        <v>0.23100000000000001</v>
      </c>
      <c r="M5" s="18">
        <f>MIN(100%,ROUND($E5*1.2,3))</f>
        <v>0.26400000000000001</v>
      </c>
      <c r="N5" s="18">
        <f>MIN(100%,ROUND($E5*1.3,3))</f>
        <v>0.28599999999999998</v>
      </c>
      <c r="O5" s="18">
        <f>MIN(100%,ROUND($E5*1.35,3))</f>
        <v>0.29699999999999999</v>
      </c>
      <c r="P5" s="18">
        <f>MIN(100%,ROUND($E5*1.25,3))</f>
        <v>0.27500000000000002</v>
      </c>
      <c r="Q5" s="18">
        <f>MIN(100%,ROUND($E5*1,3))</f>
        <v>0.22</v>
      </c>
      <c r="R5" s="18">
        <f>MIN(100%,ROUND($E5*0.8,3))</f>
        <v>0.17599999999999999</v>
      </c>
      <c r="S5" s="18">
        <f>MIN(100%,ROUND($E5*0.7,3))</f>
        <v>0.154</v>
      </c>
    </row>
    <row r="6" spans="1:19" ht="28.5" thickBot="1">
      <c r="A6" s="6" t="s">
        <v>122</v>
      </c>
      <c r="B6" s="6" t="s">
        <v>128</v>
      </c>
      <c r="C6" s="7" t="s">
        <v>218</v>
      </c>
      <c r="D6" s="10">
        <v>1119</v>
      </c>
      <c r="E6" s="18">
        <v>0.23100000000000001</v>
      </c>
      <c r="F6" s="18">
        <f>MIN(100%,ROUND(E6*1.5,3))</f>
        <v>0.34699999999999998</v>
      </c>
      <c r="G6" s="6" t="str">
        <f>IF(F6&gt;35%,"Tinggi",IF(F6&gt;=20%,"Sedang","Rendah"))</f>
        <v>Sedang</v>
      </c>
      <c r="H6" s="18">
        <f>MIN(100%,ROUND($E6*0.65,3))</f>
        <v>0.15</v>
      </c>
      <c r="I6" s="18">
        <f>MIN(100%,ROUND($E6*0.6,3))</f>
        <v>0.13900000000000001</v>
      </c>
      <c r="J6" s="18">
        <f>MIN(100%,ROUND($E6*0.7,3))</f>
        <v>0.16200000000000001</v>
      </c>
      <c r="K6" s="18">
        <f>MIN(100%,ROUND($E6*0.85,3))</f>
        <v>0.19600000000000001</v>
      </c>
      <c r="L6" s="18">
        <f>MIN(100%,ROUND($E6*1.05,3))</f>
        <v>0.24299999999999999</v>
      </c>
      <c r="M6" s="18">
        <f>MIN(100%,ROUND($E6*1.2,3))</f>
        <v>0.27700000000000002</v>
      </c>
      <c r="N6" s="18">
        <f>MIN(100%,ROUND($E6*1.3,3))</f>
        <v>0.3</v>
      </c>
      <c r="O6" s="18">
        <f>MIN(100%,ROUND($E6*1.35,3))</f>
        <v>0.312</v>
      </c>
      <c r="P6" s="18">
        <f>MIN(100%,ROUND($E6*1.25,3))</f>
        <v>0.28899999999999998</v>
      </c>
      <c r="Q6" s="18">
        <f>MIN(100%,ROUND($E6*1,3))</f>
        <v>0.23100000000000001</v>
      </c>
      <c r="R6" s="18">
        <f>MIN(100%,ROUND($E6*0.8,3))</f>
        <v>0.185</v>
      </c>
      <c r="S6" s="18">
        <f>MIN(100%,ROUND($E6*0.7,3))</f>
        <v>0.16200000000000001</v>
      </c>
    </row>
    <row r="7" spans="1:19" ht="28.5" thickBot="1">
      <c r="A7" s="6" t="s">
        <v>122</v>
      </c>
      <c r="B7" s="6" t="s">
        <v>124</v>
      </c>
      <c r="C7" s="7" t="s">
        <v>219</v>
      </c>
      <c r="D7" s="10">
        <v>692</v>
      </c>
      <c r="E7" s="18">
        <v>0.24199999999999999</v>
      </c>
      <c r="F7" s="18">
        <f>MIN(100%,ROUND(E7*1.5,3))</f>
        <v>0.36299999999999999</v>
      </c>
      <c r="G7" s="6" t="str">
        <f>IF(F7&gt;35%,"Tinggi",IF(F7&gt;=20%,"Sedang","Rendah"))</f>
        <v>Tinggi</v>
      </c>
      <c r="H7" s="18">
        <f>MIN(100%,ROUND($E7*0.65,3))</f>
        <v>0.157</v>
      </c>
      <c r="I7" s="18">
        <f>MIN(100%,ROUND($E7*0.6,3))</f>
        <v>0.14499999999999999</v>
      </c>
      <c r="J7" s="18">
        <f>MIN(100%,ROUND($E7*0.7,3))</f>
        <v>0.16900000000000001</v>
      </c>
      <c r="K7" s="18">
        <f>MIN(100%,ROUND($E7*0.85,3))</f>
        <v>0.20599999999999999</v>
      </c>
      <c r="L7" s="18">
        <f>MIN(100%,ROUND($E7*1.05,3))</f>
        <v>0.254</v>
      </c>
      <c r="M7" s="18">
        <f>MIN(100%,ROUND($E7*1.2,3))</f>
        <v>0.28999999999999998</v>
      </c>
      <c r="N7" s="18">
        <f>MIN(100%,ROUND($E7*1.3,3))</f>
        <v>0.315</v>
      </c>
      <c r="O7" s="18">
        <f>MIN(100%,ROUND($E7*1.35,3))</f>
        <v>0.32700000000000001</v>
      </c>
      <c r="P7" s="18">
        <f>MIN(100%,ROUND($E7*1.25,3))</f>
        <v>0.30299999999999999</v>
      </c>
      <c r="Q7" s="18">
        <f>MIN(100%,ROUND($E7*1,3))</f>
        <v>0.24199999999999999</v>
      </c>
      <c r="R7" s="18">
        <f>MIN(100%,ROUND($E7*0.8,3))</f>
        <v>0.19400000000000001</v>
      </c>
      <c r="S7" s="18">
        <f>MIN(100%,ROUND($E7*0.7,3))</f>
        <v>0.16900000000000001</v>
      </c>
    </row>
    <row r="8" spans="1:19" ht="28.5" thickBot="1">
      <c r="A8" s="6" t="s">
        <v>59</v>
      </c>
      <c r="B8" s="6" t="s">
        <v>63</v>
      </c>
      <c r="C8" s="7" t="s">
        <v>220</v>
      </c>
      <c r="D8" s="10">
        <v>781</v>
      </c>
      <c r="E8" s="18">
        <v>0.24199999999999999</v>
      </c>
      <c r="F8" s="18">
        <f>MIN(100%,ROUND(E8*1.5,3))</f>
        <v>0.36299999999999999</v>
      </c>
      <c r="G8" s="6" t="str">
        <f>IF(F8&gt;35%,"Tinggi",IF(F8&gt;=20%,"Sedang","Rendah"))</f>
        <v>Tinggi</v>
      </c>
      <c r="H8" s="18">
        <f>MIN(100%,ROUND($E8*0.65,3))</f>
        <v>0.157</v>
      </c>
      <c r="I8" s="18">
        <f>MIN(100%,ROUND($E8*0.6,3))</f>
        <v>0.14499999999999999</v>
      </c>
      <c r="J8" s="18">
        <f>MIN(100%,ROUND($E8*0.7,3))</f>
        <v>0.16900000000000001</v>
      </c>
      <c r="K8" s="18">
        <f>MIN(100%,ROUND($E8*0.85,3))</f>
        <v>0.20599999999999999</v>
      </c>
      <c r="L8" s="18">
        <f>MIN(100%,ROUND($E8*1.05,3))</f>
        <v>0.254</v>
      </c>
      <c r="M8" s="18">
        <f>MIN(100%,ROUND($E8*1.2,3))</f>
        <v>0.28999999999999998</v>
      </c>
      <c r="N8" s="18">
        <f>MIN(100%,ROUND($E8*1.3,3))</f>
        <v>0.315</v>
      </c>
      <c r="O8" s="18">
        <f>MIN(100%,ROUND($E8*1.35,3))</f>
        <v>0.32700000000000001</v>
      </c>
      <c r="P8" s="18">
        <f>MIN(100%,ROUND($E8*1.25,3))</f>
        <v>0.30299999999999999</v>
      </c>
      <c r="Q8" s="18">
        <f>MIN(100%,ROUND($E8*1,3))</f>
        <v>0.24199999999999999</v>
      </c>
      <c r="R8" s="18">
        <f>MIN(100%,ROUND($E8*0.8,3))</f>
        <v>0.19400000000000001</v>
      </c>
      <c r="S8" s="18">
        <f>MIN(100%,ROUND($E8*0.7,3))</f>
        <v>0.16900000000000001</v>
      </c>
    </row>
    <row r="9" spans="1:19" ht="28.5" thickBot="1">
      <c r="A9" s="6" t="s">
        <v>59</v>
      </c>
      <c r="B9" s="6" t="s">
        <v>59</v>
      </c>
      <c r="C9" s="7" t="s">
        <v>221</v>
      </c>
      <c r="D9" s="10">
        <v>1304</v>
      </c>
      <c r="E9" s="18">
        <v>0.20899999999999999</v>
      </c>
      <c r="F9" s="18">
        <f>MIN(100%,ROUND(E9*1.5,3))</f>
        <v>0.314</v>
      </c>
      <c r="G9" s="6" t="str">
        <f>IF(F9&gt;35%,"Tinggi",IF(F9&gt;=20%,"Sedang","Rendah"))</f>
        <v>Sedang</v>
      </c>
      <c r="H9" s="18">
        <f>MIN(100%,ROUND($E9*0.65,3))</f>
        <v>0.13600000000000001</v>
      </c>
      <c r="I9" s="18">
        <f>MIN(100%,ROUND($E9*0.6,3))</f>
        <v>0.125</v>
      </c>
      <c r="J9" s="18">
        <f>MIN(100%,ROUND($E9*0.7,3))</f>
        <v>0.14599999999999999</v>
      </c>
      <c r="K9" s="18">
        <f>MIN(100%,ROUND($E9*0.85,3))</f>
        <v>0.17799999999999999</v>
      </c>
      <c r="L9" s="18">
        <f>MIN(100%,ROUND($E9*1.05,3))</f>
        <v>0.219</v>
      </c>
      <c r="M9" s="18">
        <f>MIN(100%,ROUND($E9*1.2,3))</f>
        <v>0.251</v>
      </c>
      <c r="N9" s="18">
        <f>MIN(100%,ROUND($E9*1.3,3))</f>
        <v>0.27200000000000002</v>
      </c>
      <c r="O9" s="18">
        <f>MIN(100%,ROUND($E9*1.35,3))</f>
        <v>0.28199999999999997</v>
      </c>
      <c r="P9" s="18">
        <f>MIN(100%,ROUND($E9*1.25,3))</f>
        <v>0.26100000000000001</v>
      </c>
      <c r="Q9" s="18">
        <f>MIN(100%,ROUND($E9*1,3))</f>
        <v>0.20899999999999999</v>
      </c>
      <c r="R9" s="18">
        <f>MIN(100%,ROUND($E9*0.8,3))</f>
        <v>0.16700000000000001</v>
      </c>
      <c r="S9" s="18">
        <f>MIN(100%,ROUND($E9*0.7,3))</f>
        <v>0.14599999999999999</v>
      </c>
    </row>
    <row r="10" spans="1:19" ht="28">
      <c r="A10" s="6" t="s">
        <v>99</v>
      </c>
      <c r="B10" s="6" t="s">
        <v>105</v>
      </c>
      <c r="C10" s="7" t="s">
        <v>222</v>
      </c>
      <c r="D10" s="10">
        <v>2848</v>
      </c>
      <c r="E10" s="18">
        <v>0.22</v>
      </c>
      <c r="F10" s="18">
        <f>MIN(100%,ROUND(E10*1.5,3))</f>
        <v>0.33</v>
      </c>
      <c r="G10" s="6" t="str">
        <f>IF(F10&gt;35%,"Tinggi",IF(F10&gt;=20%,"Sedang","Rendah"))</f>
        <v>Sedang</v>
      </c>
      <c r="H10" s="18">
        <f>MIN(100%,ROUND($E10*0.65,3))</f>
        <v>0.14299999999999999</v>
      </c>
      <c r="I10" s="18">
        <f>MIN(100%,ROUND($E10*0.6,3))</f>
        <v>0.13200000000000001</v>
      </c>
      <c r="J10" s="18">
        <f>MIN(100%,ROUND($E10*0.7,3))</f>
        <v>0.154</v>
      </c>
      <c r="K10" s="18">
        <f>MIN(100%,ROUND($E10*0.85,3))</f>
        <v>0.187</v>
      </c>
      <c r="L10" s="18">
        <f>MIN(100%,ROUND($E10*1.05,3))</f>
        <v>0.23100000000000001</v>
      </c>
      <c r="M10" s="18">
        <f>MIN(100%,ROUND($E10*1.2,3))</f>
        <v>0.26400000000000001</v>
      </c>
      <c r="N10" s="18">
        <f>MIN(100%,ROUND($E10*1.3,3))</f>
        <v>0.28599999999999998</v>
      </c>
      <c r="O10" s="18">
        <f>MIN(100%,ROUND($E10*1.35,3))</f>
        <v>0.29699999999999999</v>
      </c>
      <c r="P10" s="18">
        <f>MIN(100%,ROUND($E10*1.25,3))</f>
        <v>0.27500000000000002</v>
      </c>
      <c r="Q10" s="18">
        <f>MIN(100%,ROUND($E10*1,3))</f>
        <v>0.22</v>
      </c>
      <c r="R10" s="18">
        <f>MIN(100%,ROUND($E10*0.8,3))</f>
        <v>0.17599999999999999</v>
      </c>
      <c r="S10" s="18">
        <f>MIN(100%,ROUND($E10*0.7,3))</f>
        <v>0.154</v>
      </c>
    </row>
  </sheetData>
  <conditionalFormatting sqref="G2:G10">
    <cfRule type="expression" dxfId="26" priority="1">
      <formula>$G2="Tinggi"</formula>
    </cfRule>
  </conditionalFormatting>
  <conditionalFormatting sqref="G2:G10">
    <cfRule type="expression" dxfId="25" priority="2">
      <formula>$G2="Sedang"</formula>
    </cfRule>
  </conditionalFormatting>
  <conditionalFormatting sqref="G2:G10">
    <cfRule type="expression" dxfId="24" priority="3">
      <formula>$G2="Rendah"</formula>
    </cfRule>
  </conditionalFormatting>
  <conditionalFormatting sqref="E2:S10">
    <cfRule type="colorScale" priority="4">
      <colorScale>
        <cfvo type="min"/>
        <cfvo type="percentile" val="50"/>
        <cfvo type="max"/>
        <color rgb="FFFFFFFF"/>
        <color rgb="FFFFD966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138EB-5D5C-4FC6-863F-0E8A223D175C}">
  <dimension ref="A1:Q10"/>
  <sheetViews>
    <sheetView topLeftCell="H1" workbookViewId="0">
      <selection activeCell="R10" sqref="R10"/>
    </sheetView>
  </sheetViews>
  <sheetFormatPr defaultRowHeight="14.5"/>
  <cols>
    <col min="1" max="1" width="9.36328125" bestFit="1" customWidth="1"/>
    <col min="2" max="2" width="11.54296875" bestFit="1" customWidth="1"/>
    <col min="3" max="3" width="36.36328125" customWidth="1"/>
    <col min="4" max="4" width="5.7265625" bestFit="1" customWidth="1"/>
    <col min="5" max="5" width="8.6328125" bestFit="1" customWidth="1"/>
    <col min="7" max="7" width="6.7265625" bestFit="1" customWidth="1"/>
    <col min="8" max="8" width="13.7265625" bestFit="1" customWidth="1"/>
    <col min="9" max="9" width="8.1796875" bestFit="1" customWidth="1"/>
    <col min="10" max="10" width="13.7265625" bestFit="1" customWidth="1"/>
    <col min="11" max="11" width="8.1796875" bestFit="1" customWidth="1"/>
    <col min="12" max="12" width="10.54296875" bestFit="1" customWidth="1"/>
    <col min="13" max="13" width="8.1796875" bestFit="1" customWidth="1"/>
    <col min="14" max="14" width="13.81640625" bestFit="1" customWidth="1"/>
    <col min="15" max="15" width="8.1796875" bestFit="1" customWidth="1"/>
    <col min="16" max="16" width="12.26953125" bestFit="1" customWidth="1"/>
    <col min="17" max="17" width="8.1796875" bestFit="1" customWidth="1"/>
  </cols>
  <sheetData>
    <row r="1" spans="1:17" ht="72.5">
      <c r="A1" s="11" t="s">
        <v>24</v>
      </c>
      <c r="B1" s="11" t="s">
        <v>25</v>
      </c>
      <c r="C1" s="11" t="s">
        <v>210</v>
      </c>
      <c r="D1" s="11" t="s">
        <v>211</v>
      </c>
      <c r="E1" s="11" t="s">
        <v>223</v>
      </c>
      <c r="F1" s="11" t="s">
        <v>224</v>
      </c>
      <c r="G1" s="11" t="s">
        <v>30</v>
      </c>
      <c r="H1" s="11" t="str">
        <f>"Produk 1 ("&amp;TEXT(MIN(I2:I10),"0%")&amp;"–"&amp;TEXT(MAX(I2:I10),"0%")&amp;")"</f>
        <v>Produk 1 (28%–30%)</v>
      </c>
      <c r="I1" s="11" t="s">
        <v>107</v>
      </c>
      <c r="J1" s="11" t="str">
        <f>"Produk 2 ("&amp;TEXT(MIN(K2:K10),"0%")&amp;"–"&amp;TEXT(MAX(K2:K10),"0%")&amp;")"</f>
        <v>Produk 2 (24%–24%)</v>
      </c>
      <c r="K1" s="11" t="s">
        <v>108</v>
      </c>
      <c r="L1" s="11" t="str">
        <f>"Produk 3 ("&amp;TEXT(MIN(M2:M10),"0%")&amp;"–"&amp;TEXT(MAX(M2:M10),"0%")&amp;")"</f>
        <v>Produk 3 (19%–20%)</v>
      </c>
      <c r="M1" s="11" t="s">
        <v>109</v>
      </c>
      <c r="N1" s="11" t="str">
        <f>"Produk 4 ("&amp;TEXT(MIN(O2:O10),"0%")&amp;"–"&amp;TEXT(MAX(O2:O10),"0%")&amp;")"</f>
        <v>Produk 4 (15%–16%)</v>
      </c>
      <c r="O1" s="11" t="s">
        <v>110</v>
      </c>
      <c r="P1" s="11" t="str">
        <f>"Produk 5 ("&amp;TEXT(MIN(Q2:Q10),"0%")&amp;"–"&amp;TEXT(MAX(Q2:Q10),"0%")&amp;")"</f>
        <v>Produk 5 (12%–12%)</v>
      </c>
      <c r="Q1" s="11" t="s">
        <v>111</v>
      </c>
    </row>
    <row r="2" spans="1:17" ht="29">
      <c r="A2" t="s">
        <v>43</v>
      </c>
      <c r="B2" t="s">
        <v>43</v>
      </c>
      <c r="C2" s="13" t="s">
        <v>214</v>
      </c>
      <c r="D2" s="19">
        <v>2723</v>
      </c>
      <c r="E2" s="12">
        <v>0.253</v>
      </c>
      <c r="F2" s="12">
        <v>0.38</v>
      </c>
      <c r="G2" t="s">
        <v>65</v>
      </c>
      <c r="H2" t="s">
        <v>233</v>
      </c>
      <c r="I2" s="3">
        <v>0.3</v>
      </c>
      <c r="J2" t="s">
        <v>238</v>
      </c>
      <c r="K2" s="3">
        <v>0.24</v>
      </c>
      <c r="L2" t="s">
        <v>237</v>
      </c>
      <c r="M2" s="3">
        <v>0.19</v>
      </c>
      <c r="N2" t="s">
        <v>239</v>
      </c>
      <c r="O2" s="3">
        <v>0.15</v>
      </c>
      <c r="P2" t="s">
        <v>240</v>
      </c>
      <c r="Q2" s="3">
        <v>0.12</v>
      </c>
    </row>
    <row r="3" spans="1:17" ht="29">
      <c r="A3" t="s">
        <v>99</v>
      </c>
      <c r="B3" t="s">
        <v>100</v>
      </c>
      <c r="C3" s="13" t="s">
        <v>215</v>
      </c>
      <c r="D3" s="19">
        <v>2340</v>
      </c>
      <c r="E3" s="12">
        <v>0.20899999999999999</v>
      </c>
      <c r="F3" s="12">
        <v>0.314</v>
      </c>
      <c r="G3" t="s">
        <v>45</v>
      </c>
      <c r="H3" t="s">
        <v>238</v>
      </c>
      <c r="I3" s="3">
        <v>0.28000000000000003</v>
      </c>
      <c r="J3" t="s">
        <v>233</v>
      </c>
      <c r="K3" s="3">
        <v>0.24</v>
      </c>
      <c r="L3" t="s">
        <v>237</v>
      </c>
      <c r="M3" s="3">
        <v>0.2</v>
      </c>
      <c r="N3" t="s">
        <v>239</v>
      </c>
      <c r="O3" s="3">
        <v>0.16</v>
      </c>
      <c r="P3" t="s">
        <v>240</v>
      </c>
      <c r="Q3" s="3">
        <v>0.12</v>
      </c>
    </row>
    <row r="4" spans="1:17">
      <c r="A4" t="s">
        <v>99</v>
      </c>
      <c r="B4" t="s">
        <v>99</v>
      </c>
      <c r="C4" s="13" t="s">
        <v>216</v>
      </c>
      <c r="D4" s="19">
        <v>1900</v>
      </c>
      <c r="E4" s="12">
        <v>0.19800000000000001</v>
      </c>
      <c r="F4" s="12">
        <v>0.29699999999999999</v>
      </c>
      <c r="G4" t="s">
        <v>45</v>
      </c>
      <c r="H4" t="s">
        <v>238</v>
      </c>
      <c r="I4" s="3">
        <v>0.28000000000000003</v>
      </c>
      <c r="J4" t="s">
        <v>233</v>
      </c>
      <c r="K4" s="3">
        <v>0.24</v>
      </c>
      <c r="L4" t="s">
        <v>237</v>
      </c>
      <c r="M4" s="3">
        <v>0.2</v>
      </c>
      <c r="N4" t="s">
        <v>239</v>
      </c>
      <c r="O4" s="3">
        <v>0.16</v>
      </c>
      <c r="P4" t="s">
        <v>240</v>
      </c>
      <c r="Q4" s="3">
        <v>0.12</v>
      </c>
    </row>
    <row r="5" spans="1:17">
      <c r="A5" t="s">
        <v>99</v>
      </c>
      <c r="B5" t="s">
        <v>103</v>
      </c>
      <c r="C5" s="13" t="s">
        <v>217</v>
      </c>
      <c r="D5" s="19">
        <v>3582</v>
      </c>
      <c r="E5" s="12">
        <v>0.22</v>
      </c>
      <c r="F5" s="12">
        <v>0.33</v>
      </c>
      <c r="G5" t="s">
        <v>45</v>
      </c>
      <c r="H5" t="s">
        <v>238</v>
      </c>
      <c r="I5" s="3">
        <v>0.28000000000000003</v>
      </c>
      <c r="J5" t="s">
        <v>233</v>
      </c>
      <c r="K5" s="3">
        <v>0.24</v>
      </c>
      <c r="L5" t="s">
        <v>237</v>
      </c>
      <c r="M5" s="3">
        <v>0.2</v>
      </c>
      <c r="N5" t="s">
        <v>239</v>
      </c>
      <c r="O5" s="3">
        <v>0.16</v>
      </c>
      <c r="P5" t="s">
        <v>240</v>
      </c>
      <c r="Q5" s="3">
        <v>0.12</v>
      </c>
    </row>
    <row r="6" spans="1:17">
      <c r="A6" t="s">
        <v>122</v>
      </c>
      <c r="B6" t="s">
        <v>128</v>
      </c>
      <c r="C6" s="13" t="s">
        <v>218</v>
      </c>
      <c r="D6" s="19">
        <v>1119</v>
      </c>
      <c r="E6" s="12">
        <v>0.23100000000000001</v>
      </c>
      <c r="F6" s="12">
        <v>0.34699999999999998</v>
      </c>
      <c r="G6" t="s">
        <v>45</v>
      </c>
      <c r="H6" t="s">
        <v>238</v>
      </c>
      <c r="I6" s="3">
        <v>0.28000000000000003</v>
      </c>
      <c r="J6" t="s">
        <v>233</v>
      </c>
      <c r="K6" s="3">
        <v>0.24</v>
      </c>
      <c r="L6" t="s">
        <v>237</v>
      </c>
      <c r="M6" s="3">
        <v>0.2</v>
      </c>
      <c r="N6" t="s">
        <v>239</v>
      </c>
      <c r="O6" s="3">
        <v>0.16</v>
      </c>
      <c r="P6" t="s">
        <v>240</v>
      </c>
      <c r="Q6" s="3">
        <v>0.12</v>
      </c>
    </row>
    <row r="7" spans="1:17">
      <c r="A7" t="s">
        <v>122</v>
      </c>
      <c r="B7" t="s">
        <v>124</v>
      </c>
      <c r="C7" s="13" t="s">
        <v>219</v>
      </c>
      <c r="D7" s="19">
        <v>692</v>
      </c>
      <c r="E7" s="12">
        <v>0.24199999999999999</v>
      </c>
      <c r="F7" s="12">
        <v>0.36299999999999999</v>
      </c>
      <c r="G7" t="s">
        <v>65</v>
      </c>
      <c r="H7" t="s">
        <v>233</v>
      </c>
      <c r="I7" s="3">
        <v>0.3</v>
      </c>
      <c r="J7" t="s">
        <v>238</v>
      </c>
      <c r="K7" s="3">
        <v>0.24</v>
      </c>
      <c r="L7" t="s">
        <v>237</v>
      </c>
      <c r="M7" s="3">
        <v>0.19</v>
      </c>
      <c r="N7" t="s">
        <v>239</v>
      </c>
      <c r="O7" s="3">
        <v>0.15</v>
      </c>
      <c r="P7" t="s">
        <v>240</v>
      </c>
      <c r="Q7" s="3">
        <v>0.12</v>
      </c>
    </row>
    <row r="8" spans="1:17">
      <c r="A8" t="s">
        <v>59</v>
      </c>
      <c r="B8" t="s">
        <v>63</v>
      </c>
      <c r="C8" s="13" t="s">
        <v>220</v>
      </c>
      <c r="D8" s="19">
        <v>781</v>
      </c>
      <c r="E8" s="12">
        <v>0.24199999999999999</v>
      </c>
      <c r="F8" s="12">
        <v>0.36299999999999999</v>
      </c>
      <c r="G8" t="s">
        <v>65</v>
      </c>
      <c r="H8" t="s">
        <v>233</v>
      </c>
      <c r="I8" s="3">
        <v>0.3</v>
      </c>
      <c r="J8" t="s">
        <v>238</v>
      </c>
      <c r="K8" s="3">
        <v>0.24</v>
      </c>
      <c r="L8" t="s">
        <v>237</v>
      </c>
      <c r="M8" s="3">
        <v>0.19</v>
      </c>
      <c r="N8" t="s">
        <v>239</v>
      </c>
      <c r="O8" s="3">
        <v>0.15</v>
      </c>
      <c r="P8" t="s">
        <v>240</v>
      </c>
      <c r="Q8" s="3">
        <v>0.12</v>
      </c>
    </row>
    <row r="9" spans="1:17">
      <c r="A9" t="s">
        <v>59</v>
      </c>
      <c r="B9" t="s">
        <v>59</v>
      </c>
      <c r="C9" s="13" t="s">
        <v>221</v>
      </c>
      <c r="D9" s="19">
        <v>1304</v>
      </c>
      <c r="E9" s="12">
        <v>0.20899999999999999</v>
      </c>
      <c r="F9" s="12">
        <v>0.314</v>
      </c>
      <c r="G9" t="s">
        <v>45</v>
      </c>
      <c r="H9" t="s">
        <v>238</v>
      </c>
      <c r="I9" s="3">
        <v>0.28000000000000003</v>
      </c>
      <c r="J9" t="s">
        <v>233</v>
      </c>
      <c r="K9" s="3">
        <v>0.24</v>
      </c>
      <c r="L9" t="s">
        <v>237</v>
      </c>
      <c r="M9" s="3">
        <v>0.2</v>
      </c>
      <c r="N9" t="s">
        <v>239</v>
      </c>
      <c r="O9" s="3">
        <v>0.16</v>
      </c>
      <c r="P9" t="s">
        <v>240</v>
      </c>
      <c r="Q9" s="3">
        <v>0.12</v>
      </c>
    </row>
    <row r="10" spans="1:17">
      <c r="A10" t="s">
        <v>99</v>
      </c>
      <c r="B10" t="s">
        <v>105</v>
      </c>
      <c r="C10" s="13" t="s">
        <v>222</v>
      </c>
      <c r="D10" s="19">
        <v>2848</v>
      </c>
      <c r="E10" s="12">
        <v>0.22</v>
      </c>
      <c r="F10" s="12">
        <v>0.33</v>
      </c>
      <c r="G10" t="s">
        <v>45</v>
      </c>
      <c r="H10" t="s">
        <v>238</v>
      </c>
      <c r="I10" s="3">
        <v>0.28000000000000003</v>
      </c>
      <c r="J10" t="s">
        <v>233</v>
      </c>
      <c r="K10" s="3">
        <v>0.24</v>
      </c>
      <c r="L10" t="s">
        <v>237</v>
      </c>
      <c r="M10" s="3">
        <v>0.2</v>
      </c>
      <c r="N10" t="s">
        <v>239</v>
      </c>
      <c r="O10" s="3">
        <v>0.16</v>
      </c>
      <c r="P10" t="s">
        <v>240</v>
      </c>
      <c r="Q10" s="3">
        <v>0.12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4667C-491E-42C3-B2FB-0CABA53B614A}">
  <dimension ref="A1:S10"/>
  <sheetViews>
    <sheetView workbookViewId="0"/>
  </sheetViews>
  <sheetFormatPr defaultRowHeight="14.5"/>
  <cols>
    <col min="1" max="2" width="8.54296875" bestFit="1" customWidth="1"/>
    <col min="3" max="3" width="36.36328125" customWidth="1"/>
    <col min="4" max="4" width="8.26953125" bestFit="1" customWidth="1"/>
    <col min="5" max="5" width="8.453125" bestFit="1" customWidth="1"/>
    <col min="6" max="6" width="8.54296875" bestFit="1" customWidth="1"/>
    <col min="8" max="19" width="7.54296875" bestFit="1" customWidth="1"/>
  </cols>
  <sheetData>
    <row r="1" spans="1:19" ht="112">
      <c r="A1" s="20" t="s">
        <v>24</v>
      </c>
      <c r="B1" s="20" t="s">
        <v>25</v>
      </c>
      <c r="C1" s="20" t="s">
        <v>210</v>
      </c>
      <c r="D1" s="20" t="s">
        <v>211</v>
      </c>
      <c r="E1" s="20" t="s">
        <v>225</v>
      </c>
      <c r="F1" s="20" t="s">
        <v>226</v>
      </c>
      <c r="G1" s="20" t="s">
        <v>30</v>
      </c>
      <c r="H1" s="20" t="s">
        <v>31</v>
      </c>
      <c r="I1" s="20" t="s">
        <v>175</v>
      </c>
      <c r="J1" s="20" t="s">
        <v>33</v>
      </c>
      <c r="K1" s="20" t="s">
        <v>34</v>
      </c>
      <c r="L1" s="20" t="s">
        <v>35</v>
      </c>
      <c r="M1" s="20" t="s">
        <v>176</v>
      </c>
      <c r="N1" s="20" t="s">
        <v>37</v>
      </c>
      <c r="O1" s="20" t="s">
        <v>177</v>
      </c>
      <c r="P1" s="20" t="s">
        <v>39</v>
      </c>
      <c r="Q1" s="20" t="s">
        <v>40</v>
      </c>
      <c r="R1" s="20" t="s">
        <v>41</v>
      </c>
      <c r="S1" s="20" t="s">
        <v>42</v>
      </c>
    </row>
    <row r="2" spans="1:19" ht="28.5" thickBot="1">
      <c r="A2" s="2" t="s">
        <v>43</v>
      </c>
      <c r="B2" s="2" t="s">
        <v>43</v>
      </c>
      <c r="C2" s="8" t="s">
        <v>214</v>
      </c>
      <c r="D2" s="9">
        <v>2723</v>
      </c>
      <c r="E2" s="17">
        <v>0.36799999999999999</v>
      </c>
      <c r="F2" s="17">
        <f>MIN(100%,ROUND(E2*1.55,3))</f>
        <v>0.56999999999999995</v>
      </c>
      <c r="G2" s="2" t="str">
        <f>IF(F2&gt;35%,"Tinggi",IF(F2&gt;=20%,"Sedang","Rendah"))</f>
        <v>Tinggi</v>
      </c>
      <c r="H2" s="17">
        <f>MIN(100%,ROUND($E2*0.7,3))</f>
        <v>0.25800000000000001</v>
      </c>
      <c r="I2" s="17">
        <f>MIN(100%,ROUND($E2*0.65,3))</f>
        <v>0.23899999999999999</v>
      </c>
      <c r="J2" s="17">
        <f>MIN(100%,ROUND($E2*0.75,3))</f>
        <v>0.27600000000000002</v>
      </c>
      <c r="K2" s="17">
        <f>MIN(100%,ROUND($E2*0.9,3))</f>
        <v>0.33100000000000002</v>
      </c>
      <c r="L2" s="17">
        <f>MIN(100%,ROUND($E2*1.1,3))</f>
        <v>0.40500000000000003</v>
      </c>
      <c r="M2" s="17">
        <f>MIN(100%,ROUND($E2*1.25,3))</f>
        <v>0.46</v>
      </c>
      <c r="N2" s="17">
        <f>MIN(100%,ROUND($E2*1.35,3))</f>
        <v>0.497</v>
      </c>
      <c r="O2" s="17">
        <f>MIN(100%,ROUND($E2*1.4,3))</f>
        <v>0.51500000000000001</v>
      </c>
      <c r="P2" s="17">
        <f>MIN(100%,ROUND($E2*1.3,3))</f>
        <v>0.47799999999999998</v>
      </c>
      <c r="Q2" s="17">
        <f>MIN(100%,ROUND($E2*1.05,3))</f>
        <v>0.38600000000000001</v>
      </c>
      <c r="R2" s="17">
        <f>MIN(100%,ROUND($E2*0.85,3))</f>
        <v>0.313</v>
      </c>
      <c r="S2" s="17">
        <f>MIN(100%,ROUND($E2*0.75,3))</f>
        <v>0.27600000000000002</v>
      </c>
    </row>
    <row r="3" spans="1:19" ht="28.5" thickBot="1">
      <c r="A3" s="6" t="s">
        <v>99</v>
      </c>
      <c r="B3" s="6" t="s">
        <v>100</v>
      </c>
      <c r="C3" s="7" t="s">
        <v>215</v>
      </c>
      <c r="D3" s="10">
        <v>2340</v>
      </c>
      <c r="E3" s="18">
        <v>0.30399999999999999</v>
      </c>
      <c r="F3" s="18">
        <f>MIN(100%,ROUND(E3*1.55,3))</f>
        <v>0.47099999999999997</v>
      </c>
      <c r="G3" s="6" t="str">
        <f>IF(F3&gt;35%,"Tinggi",IF(F3&gt;=20%,"Sedang","Rendah"))</f>
        <v>Tinggi</v>
      </c>
      <c r="H3" s="18">
        <f>MIN(100%,ROUND($E3*0.7,3))</f>
        <v>0.21299999999999999</v>
      </c>
      <c r="I3" s="18">
        <f>MIN(100%,ROUND($E3*0.65,3))</f>
        <v>0.19800000000000001</v>
      </c>
      <c r="J3" s="18">
        <f>MIN(100%,ROUND($E3*0.75,3))</f>
        <v>0.22800000000000001</v>
      </c>
      <c r="K3" s="18">
        <f>MIN(100%,ROUND($E3*0.9,3))</f>
        <v>0.27400000000000002</v>
      </c>
      <c r="L3" s="18">
        <f>MIN(100%,ROUND($E3*1.1,3))</f>
        <v>0.33400000000000002</v>
      </c>
      <c r="M3" s="18">
        <f>MIN(100%,ROUND($E3*1.25,3))</f>
        <v>0.38</v>
      </c>
      <c r="N3" s="18">
        <f>MIN(100%,ROUND($E3*1.35,3))</f>
        <v>0.41</v>
      </c>
      <c r="O3" s="18">
        <f>MIN(100%,ROUND($E3*1.4,3))</f>
        <v>0.42599999999999999</v>
      </c>
      <c r="P3" s="18">
        <f>MIN(100%,ROUND($E3*1.3,3))</f>
        <v>0.39500000000000002</v>
      </c>
      <c r="Q3" s="18">
        <f>MIN(100%,ROUND($E3*1.05,3))</f>
        <v>0.31900000000000001</v>
      </c>
      <c r="R3" s="18">
        <f>MIN(100%,ROUND($E3*0.85,3))</f>
        <v>0.25800000000000001</v>
      </c>
      <c r="S3" s="18">
        <f>MIN(100%,ROUND($E3*0.75,3))</f>
        <v>0.22800000000000001</v>
      </c>
    </row>
    <row r="4" spans="1:19" ht="28.5" thickBot="1">
      <c r="A4" s="6" t="s">
        <v>99</v>
      </c>
      <c r="B4" s="6" t="s">
        <v>99</v>
      </c>
      <c r="C4" s="7" t="s">
        <v>216</v>
      </c>
      <c r="D4" s="10">
        <v>1900</v>
      </c>
      <c r="E4" s="18">
        <v>0.28799999999999998</v>
      </c>
      <c r="F4" s="18">
        <f>MIN(100%,ROUND(E4*1.55,3))</f>
        <v>0.44600000000000001</v>
      </c>
      <c r="G4" s="6" t="str">
        <f>IF(F4&gt;35%,"Tinggi",IF(F4&gt;=20%,"Sedang","Rendah"))</f>
        <v>Tinggi</v>
      </c>
      <c r="H4" s="18">
        <f>MIN(100%,ROUND($E4*0.7,3))</f>
        <v>0.20200000000000001</v>
      </c>
      <c r="I4" s="18">
        <f>MIN(100%,ROUND($E4*0.65,3))</f>
        <v>0.187</v>
      </c>
      <c r="J4" s="18">
        <f>MIN(100%,ROUND($E4*0.75,3))</f>
        <v>0.216</v>
      </c>
      <c r="K4" s="18">
        <f>MIN(100%,ROUND($E4*0.9,3))</f>
        <v>0.25900000000000001</v>
      </c>
      <c r="L4" s="18">
        <f>MIN(100%,ROUND($E4*1.1,3))</f>
        <v>0.317</v>
      </c>
      <c r="M4" s="18">
        <f>MIN(100%,ROUND($E4*1.25,3))</f>
        <v>0.36</v>
      </c>
      <c r="N4" s="18">
        <f>MIN(100%,ROUND($E4*1.35,3))</f>
        <v>0.38900000000000001</v>
      </c>
      <c r="O4" s="18">
        <f>MIN(100%,ROUND($E4*1.4,3))</f>
        <v>0.40300000000000002</v>
      </c>
      <c r="P4" s="18">
        <f>MIN(100%,ROUND($E4*1.3,3))</f>
        <v>0.374</v>
      </c>
      <c r="Q4" s="18">
        <f>MIN(100%,ROUND($E4*1.05,3))</f>
        <v>0.30199999999999999</v>
      </c>
      <c r="R4" s="18">
        <f>MIN(100%,ROUND($E4*0.85,3))</f>
        <v>0.245</v>
      </c>
      <c r="S4" s="18">
        <f>MIN(100%,ROUND($E4*0.75,3))</f>
        <v>0.216</v>
      </c>
    </row>
    <row r="5" spans="1:19" ht="28.5" thickBot="1">
      <c r="A5" s="6" t="s">
        <v>99</v>
      </c>
      <c r="B5" s="6" t="s">
        <v>103</v>
      </c>
      <c r="C5" s="7" t="s">
        <v>217</v>
      </c>
      <c r="D5" s="10">
        <v>3582</v>
      </c>
      <c r="E5" s="18">
        <v>0.32</v>
      </c>
      <c r="F5" s="18">
        <f>MIN(100%,ROUND(E5*1.55,3))</f>
        <v>0.496</v>
      </c>
      <c r="G5" s="6" t="str">
        <f>IF(F5&gt;35%,"Tinggi",IF(F5&gt;=20%,"Sedang","Rendah"))</f>
        <v>Tinggi</v>
      </c>
      <c r="H5" s="18">
        <f>MIN(100%,ROUND($E5*0.7,3))</f>
        <v>0.224</v>
      </c>
      <c r="I5" s="18">
        <f>MIN(100%,ROUND($E5*0.65,3))</f>
        <v>0.20799999999999999</v>
      </c>
      <c r="J5" s="18">
        <f>MIN(100%,ROUND($E5*0.75,3))</f>
        <v>0.24</v>
      </c>
      <c r="K5" s="18">
        <f>MIN(100%,ROUND($E5*0.9,3))</f>
        <v>0.28799999999999998</v>
      </c>
      <c r="L5" s="18">
        <f>MIN(100%,ROUND($E5*1.1,3))</f>
        <v>0.35199999999999998</v>
      </c>
      <c r="M5" s="18">
        <f>MIN(100%,ROUND($E5*1.25,3))</f>
        <v>0.4</v>
      </c>
      <c r="N5" s="18">
        <f>MIN(100%,ROUND($E5*1.35,3))</f>
        <v>0.432</v>
      </c>
      <c r="O5" s="18">
        <f>MIN(100%,ROUND($E5*1.4,3))</f>
        <v>0.44800000000000001</v>
      </c>
      <c r="P5" s="18">
        <f>MIN(100%,ROUND($E5*1.3,3))</f>
        <v>0.41599999999999998</v>
      </c>
      <c r="Q5" s="18">
        <f>MIN(100%,ROUND($E5*1.05,3))</f>
        <v>0.33600000000000002</v>
      </c>
      <c r="R5" s="18">
        <f>MIN(100%,ROUND($E5*0.85,3))</f>
        <v>0.27200000000000002</v>
      </c>
      <c r="S5" s="18">
        <f>MIN(100%,ROUND($E5*0.75,3))</f>
        <v>0.24</v>
      </c>
    </row>
    <row r="6" spans="1:19" ht="15" thickBot="1">
      <c r="A6" s="6" t="s">
        <v>122</v>
      </c>
      <c r="B6" s="6" t="s">
        <v>128</v>
      </c>
      <c r="C6" s="7" t="s">
        <v>218</v>
      </c>
      <c r="D6" s="10">
        <v>1119</v>
      </c>
      <c r="E6" s="18">
        <v>0.33600000000000002</v>
      </c>
      <c r="F6" s="18">
        <f>MIN(100%,ROUND(E6*1.55,3))</f>
        <v>0.52100000000000002</v>
      </c>
      <c r="G6" s="6" t="str">
        <f>IF(F6&gt;35%,"Tinggi",IF(F6&gt;=20%,"Sedang","Rendah"))</f>
        <v>Tinggi</v>
      </c>
      <c r="H6" s="18">
        <f>MIN(100%,ROUND($E6*0.7,3))</f>
        <v>0.23499999999999999</v>
      </c>
      <c r="I6" s="18">
        <f>MIN(100%,ROUND($E6*0.65,3))</f>
        <v>0.218</v>
      </c>
      <c r="J6" s="18">
        <f>MIN(100%,ROUND($E6*0.75,3))</f>
        <v>0.252</v>
      </c>
      <c r="K6" s="18">
        <f>MIN(100%,ROUND($E6*0.9,3))</f>
        <v>0.30199999999999999</v>
      </c>
      <c r="L6" s="18">
        <f>MIN(100%,ROUND($E6*1.1,3))</f>
        <v>0.37</v>
      </c>
      <c r="M6" s="18">
        <f>MIN(100%,ROUND($E6*1.25,3))</f>
        <v>0.42</v>
      </c>
      <c r="N6" s="18">
        <f>MIN(100%,ROUND($E6*1.35,3))</f>
        <v>0.45400000000000001</v>
      </c>
      <c r="O6" s="18">
        <f>MIN(100%,ROUND($E6*1.4,3))</f>
        <v>0.47</v>
      </c>
      <c r="P6" s="18">
        <f>MIN(100%,ROUND($E6*1.3,3))</f>
        <v>0.437</v>
      </c>
      <c r="Q6" s="18">
        <f>MIN(100%,ROUND($E6*1.05,3))</f>
        <v>0.35299999999999998</v>
      </c>
      <c r="R6" s="18">
        <f>MIN(100%,ROUND($E6*0.85,3))</f>
        <v>0.28599999999999998</v>
      </c>
      <c r="S6" s="18">
        <f>MIN(100%,ROUND($E6*0.75,3))</f>
        <v>0.252</v>
      </c>
    </row>
    <row r="7" spans="1:19" ht="28.5" thickBot="1">
      <c r="A7" s="6" t="s">
        <v>122</v>
      </c>
      <c r="B7" s="6" t="s">
        <v>124</v>
      </c>
      <c r="C7" s="7" t="s">
        <v>219</v>
      </c>
      <c r="D7" s="10">
        <v>692</v>
      </c>
      <c r="E7" s="18">
        <v>0.35199999999999998</v>
      </c>
      <c r="F7" s="18">
        <f>MIN(100%,ROUND(E7*1.55,3))</f>
        <v>0.54600000000000004</v>
      </c>
      <c r="G7" s="6" t="str">
        <f>IF(F7&gt;35%,"Tinggi",IF(F7&gt;=20%,"Sedang","Rendah"))</f>
        <v>Tinggi</v>
      </c>
      <c r="H7" s="18">
        <f>MIN(100%,ROUND($E7*0.7,3))</f>
        <v>0.246</v>
      </c>
      <c r="I7" s="18">
        <f>MIN(100%,ROUND($E7*0.65,3))</f>
        <v>0.22900000000000001</v>
      </c>
      <c r="J7" s="18">
        <f>MIN(100%,ROUND($E7*0.75,3))</f>
        <v>0.26400000000000001</v>
      </c>
      <c r="K7" s="18">
        <f>MIN(100%,ROUND($E7*0.9,3))</f>
        <v>0.317</v>
      </c>
      <c r="L7" s="18">
        <f>MIN(100%,ROUND($E7*1.1,3))</f>
        <v>0.38700000000000001</v>
      </c>
      <c r="M7" s="18">
        <f>MIN(100%,ROUND($E7*1.25,3))</f>
        <v>0.44</v>
      </c>
      <c r="N7" s="18">
        <f>MIN(100%,ROUND($E7*1.35,3))</f>
        <v>0.47499999999999998</v>
      </c>
      <c r="O7" s="18">
        <f>MIN(100%,ROUND($E7*1.4,3))</f>
        <v>0.49299999999999999</v>
      </c>
      <c r="P7" s="18">
        <f>MIN(100%,ROUND($E7*1.3,3))</f>
        <v>0.45800000000000002</v>
      </c>
      <c r="Q7" s="18">
        <f>MIN(100%,ROUND($E7*1.05,3))</f>
        <v>0.37</v>
      </c>
      <c r="R7" s="18">
        <f>MIN(100%,ROUND($E7*0.85,3))</f>
        <v>0.29899999999999999</v>
      </c>
      <c r="S7" s="18">
        <f>MIN(100%,ROUND($E7*0.75,3))</f>
        <v>0.26400000000000001</v>
      </c>
    </row>
    <row r="8" spans="1:19" ht="28.5" thickBot="1">
      <c r="A8" s="6" t="s">
        <v>59</v>
      </c>
      <c r="B8" s="6" t="s">
        <v>63</v>
      </c>
      <c r="C8" s="7" t="s">
        <v>220</v>
      </c>
      <c r="D8" s="10">
        <v>781</v>
      </c>
      <c r="E8" s="18">
        <v>0.35199999999999998</v>
      </c>
      <c r="F8" s="18">
        <f>MIN(100%,ROUND(E8*1.55,3))</f>
        <v>0.54600000000000004</v>
      </c>
      <c r="G8" s="6" t="str">
        <f>IF(F8&gt;35%,"Tinggi",IF(F8&gt;=20%,"Sedang","Rendah"))</f>
        <v>Tinggi</v>
      </c>
      <c r="H8" s="18">
        <f>MIN(100%,ROUND($E8*0.7,3))</f>
        <v>0.246</v>
      </c>
      <c r="I8" s="18">
        <f>MIN(100%,ROUND($E8*0.65,3))</f>
        <v>0.22900000000000001</v>
      </c>
      <c r="J8" s="18">
        <f>MIN(100%,ROUND($E8*0.75,3))</f>
        <v>0.26400000000000001</v>
      </c>
      <c r="K8" s="18">
        <f>MIN(100%,ROUND($E8*0.9,3))</f>
        <v>0.317</v>
      </c>
      <c r="L8" s="18">
        <f>MIN(100%,ROUND($E8*1.1,3))</f>
        <v>0.38700000000000001</v>
      </c>
      <c r="M8" s="18">
        <f>MIN(100%,ROUND($E8*1.25,3))</f>
        <v>0.44</v>
      </c>
      <c r="N8" s="18">
        <f>MIN(100%,ROUND($E8*1.35,3))</f>
        <v>0.47499999999999998</v>
      </c>
      <c r="O8" s="18">
        <f>MIN(100%,ROUND($E8*1.4,3))</f>
        <v>0.49299999999999999</v>
      </c>
      <c r="P8" s="18">
        <f>MIN(100%,ROUND($E8*1.3,3))</f>
        <v>0.45800000000000002</v>
      </c>
      <c r="Q8" s="18">
        <f>MIN(100%,ROUND($E8*1.05,3))</f>
        <v>0.37</v>
      </c>
      <c r="R8" s="18">
        <f>MIN(100%,ROUND($E8*0.85,3))</f>
        <v>0.29899999999999999</v>
      </c>
      <c r="S8" s="18">
        <f>MIN(100%,ROUND($E8*0.75,3))</f>
        <v>0.26400000000000001</v>
      </c>
    </row>
    <row r="9" spans="1:19" ht="28.5" thickBot="1">
      <c r="A9" s="6" t="s">
        <v>59</v>
      </c>
      <c r="B9" s="6" t="s">
        <v>59</v>
      </c>
      <c r="C9" s="7" t="s">
        <v>221</v>
      </c>
      <c r="D9" s="10">
        <v>1304</v>
      </c>
      <c r="E9" s="18">
        <v>0.30399999999999999</v>
      </c>
      <c r="F9" s="18">
        <f>MIN(100%,ROUND(E9*1.55,3))</f>
        <v>0.47099999999999997</v>
      </c>
      <c r="G9" s="6" t="str">
        <f>IF(F9&gt;35%,"Tinggi",IF(F9&gt;=20%,"Sedang","Rendah"))</f>
        <v>Tinggi</v>
      </c>
      <c r="H9" s="18">
        <f>MIN(100%,ROUND($E9*0.7,3))</f>
        <v>0.21299999999999999</v>
      </c>
      <c r="I9" s="18">
        <f>MIN(100%,ROUND($E9*0.65,3))</f>
        <v>0.19800000000000001</v>
      </c>
      <c r="J9" s="18">
        <f>MIN(100%,ROUND($E9*0.75,3))</f>
        <v>0.22800000000000001</v>
      </c>
      <c r="K9" s="18">
        <f>MIN(100%,ROUND($E9*0.9,3))</f>
        <v>0.27400000000000002</v>
      </c>
      <c r="L9" s="18">
        <f>MIN(100%,ROUND($E9*1.1,3))</f>
        <v>0.33400000000000002</v>
      </c>
      <c r="M9" s="18">
        <f>MIN(100%,ROUND($E9*1.25,3))</f>
        <v>0.38</v>
      </c>
      <c r="N9" s="18">
        <f>MIN(100%,ROUND($E9*1.35,3))</f>
        <v>0.41</v>
      </c>
      <c r="O9" s="18">
        <f>MIN(100%,ROUND($E9*1.4,3))</f>
        <v>0.42599999999999999</v>
      </c>
      <c r="P9" s="18">
        <f>MIN(100%,ROUND($E9*1.3,3))</f>
        <v>0.39500000000000002</v>
      </c>
      <c r="Q9" s="18">
        <f>MIN(100%,ROUND($E9*1.05,3))</f>
        <v>0.31900000000000001</v>
      </c>
      <c r="R9" s="18">
        <f>MIN(100%,ROUND($E9*0.85,3))</f>
        <v>0.25800000000000001</v>
      </c>
      <c r="S9" s="18">
        <f>MIN(100%,ROUND($E9*0.75,3))</f>
        <v>0.22800000000000001</v>
      </c>
    </row>
    <row r="10" spans="1:19" ht="28">
      <c r="A10" s="6" t="s">
        <v>99</v>
      </c>
      <c r="B10" s="6" t="s">
        <v>105</v>
      </c>
      <c r="C10" s="7" t="s">
        <v>222</v>
      </c>
      <c r="D10" s="10">
        <v>2848</v>
      </c>
      <c r="E10" s="18">
        <v>0.32</v>
      </c>
      <c r="F10" s="18">
        <f>MIN(100%,ROUND(E10*1.55,3))</f>
        <v>0.496</v>
      </c>
      <c r="G10" s="6" t="str">
        <f>IF(F10&gt;35%,"Tinggi",IF(F10&gt;=20%,"Sedang","Rendah"))</f>
        <v>Tinggi</v>
      </c>
      <c r="H10" s="18">
        <f>MIN(100%,ROUND($E10*0.7,3))</f>
        <v>0.224</v>
      </c>
      <c r="I10" s="18">
        <f>MIN(100%,ROUND($E10*0.65,3))</f>
        <v>0.20799999999999999</v>
      </c>
      <c r="J10" s="18">
        <f>MIN(100%,ROUND($E10*0.75,3))</f>
        <v>0.24</v>
      </c>
      <c r="K10" s="18">
        <f>MIN(100%,ROUND($E10*0.9,3))</f>
        <v>0.28799999999999998</v>
      </c>
      <c r="L10" s="18">
        <f>MIN(100%,ROUND($E10*1.1,3))</f>
        <v>0.35199999999999998</v>
      </c>
      <c r="M10" s="18">
        <f>MIN(100%,ROUND($E10*1.25,3))</f>
        <v>0.4</v>
      </c>
      <c r="N10" s="18">
        <f>MIN(100%,ROUND($E10*1.35,3))</f>
        <v>0.432</v>
      </c>
      <c r="O10" s="18">
        <f>MIN(100%,ROUND($E10*1.4,3))</f>
        <v>0.44800000000000001</v>
      </c>
      <c r="P10" s="18">
        <f>MIN(100%,ROUND($E10*1.3,3))</f>
        <v>0.41599999999999998</v>
      </c>
      <c r="Q10" s="18">
        <f>MIN(100%,ROUND($E10*1.05,3))</f>
        <v>0.33600000000000002</v>
      </c>
      <c r="R10" s="18">
        <f>MIN(100%,ROUND($E10*0.85,3))</f>
        <v>0.27200000000000002</v>
      </c>
      <c r="S10" s="18">
        <f>MIN(100%,ROUND($E10*0.75,3))</f>
        <v>0.24</v>
      </c>
    </row>
  </sheetData>
  <conditionalFormatting sqref="G2:G10">
    <cfRule type="expression" dxfId="20" priority="1">
      <formula>$G2="Tinggi"</formula>
    </cfRule>
  </conditionalFormatting>
  <conditionalFormatting sqref="G2:G10">
    <cfRule type="expression" dxfId="19" priority="2">
      <formula>$G2="Sedang"</formula>
    </cfRule>
  </conditionalFormatting>
  <conditionalFormatting sqref="G2:G10">
    <cfRule type="expression" dxfId="18" priority="3">
      <formula>$G2="Rendah"</formula>
    </cfRule>
  </conditionalFormatting>
  <conditionalFormatting sqref="E2:S10">
    <cfRule type="colorScale" priority="4">
      <colorScale>
        <cfvo type="min"/>
        <cfvo type="percentile" val="50"/>
        <cfvo type="max"/>
        <color rgb="FFFFFFFF"/>
        <color rgb="FFFFD966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CAC64-AD95-40C9-AEBD-A70253A2BA28}">
  <dimension ref="A1:Q10"/>
  <sheetViews>
    <sheetView topLeftCell="I1" workbookViewId="0">
      <selection activeCell="S8" sqref="S8"/>
    </sheetView>
  </sheetViews>
  <sheetFormatPr defaultRowHeight="14.5"/>
  <cols>
    <col min="1" max="1" width="9.36328125" bestFit="1" customWidth="1"/>
    <col min="2" max="2" width="11.54296875" bestFit="1" customWidth="1"/>
    <col min="3" max="3" width="36.36328125" customWidth="1"/>
    <col min="4" max="4" width="5.7265625" bestFit="1" customWidth="1"/>
    <col min="5" max="5" width="8.6328125" bestFit="1" customWidth="1"/>
    <col min="7" max="7" width="6" bestFit="1" customWidth="1"/>
    <col min="8" max="8" width="12.453125" bestFit="1" customWidth="1"/>
    <col min="9" max="9" width="8.1796875" bestFit="1" customWidth="1"/>
    <col min="10" max="10" width="13.7265625" bestFit="1" customWidth="1"/>
    <col min="11" max="11" width="8.1796875" bestFit="1" customWidth="1"/>
    <col min="12" max="12" width="9.1796875" bestFit="1" customWidth="1"/>
    <col min="13" max="13" width="8.1796875" bestFit="1" customWidth="1"/>
    <col min="14" max="14" width="12.6328125" bestFit="1" customWidth="1"/>
    <col min="15" max="15" width="8.1796875" bestFit="1" customWidth="1"/>
    <col min="16" max="16" width="10.54296875" bestFit="1" customWidth="1"/>
    <col min="17" max="17" width="8.1796875" bestFit="1" customWidth="1"/>
  </cols>
  <sheetData>
    <row r="1" spans="1:17" ht="72.5">
      <c r="A1" s="11" t="s">
        <v>24</v>
      </c>
      <c r="B1" s="11" t="s">
        <v>25</v>
      </c>
      <c r="C1" s="11" t="s">
        <v>210</v>
      </c>
      <c r="D1" s="11" t="s">
        <v>211</v>
      </c>
      <c r="E1" s="11" t="s">
        <v>225</v>
      </c>
      <c r="F1" s="11" t="s">
        <v>226</v>
      </c>
      <c r="G1" s="11" t="s">
        <v>30</v>
      </c>
      <c r="H1" s="11" t="str">
        <f>"Produk 1 ("&amp;TEXT(MIN(I2:I10),"0%")&amp;"–"&amp;TEXT(MAX(I2:I10),"0%")&amp;")"</f>
        <v>Produk 1 (30%–30%)</v>
      </c>
      <c r="I1" s="11" t="s">
        <v>107</v>
      </c>
      <c r="J1" s="11" t="str">
        <f>"Produk 2 ("&amp;TEXT(MIN(K2:K10),"0%")&amp;"–"&amp;TEXT(MAX(K2:K10),"0%")&amp;")"</f>
        <v>Produk 2 (24%–24%)</v>
      </c>
      <c r="K1" s="11" t="s">
        <v>108</v>
      </c>
      <c r="L1" s="11" t="str">
        <f>"Produk 3 ("&amp;TEXT(MIN(M2:M10),"0%")&amp;"–"&amp;TEXT(MAX(M2:M10),"0%")&amp;")"</f>
        <v>Produk 3 (19%–19%)</v>
      </c>
      <c r="M1" s="11" t="s">
        <v>109</v>
      </c>
      <c r="N1" s="11" t="str">
        <f>"Produk 4 ("&amp;TEXT(MIN(O2:O10),"0%")&amp;"–"&amp;TEXT(MAX(O2:O10),"0%")&amp;")"</f>
        <v>Produk 4 (15%–15%)</v>
      </c>
      <c r="O1" s="11" t="s">
        <v>110</v>
      </c>
      <c r="P1" s="11" t="str">
        <f>"Produk 5 ("&amp;TEXT(MIN(Q2:Q10),"0%")&amp;"–"&amp;TEXT(MAX(Q2:Q10),"0%")&amp;")"</f>
        <v>Produk 5 (12%–12%)</v>
      </c>
      <c r="Q1" s="11" t="s">
        <v>111</v>
      </c>
    </row>
    <row r="2" spans="1:17" ht="29">
      <c r="A2" t="s">
        <v>43</v>
      </c>
      <c r="B2" t="s">
        <v>43</v>
      </c>
      <c r="C2" s="13" t="s">
        <v>214</v>
      </c>
      <c r="D2" s="19">
        <v>2723</v>
      </c>
      <c r="E2" s="12">
        <v>0.36799999999999999</v>
      </c>
      <c r="F2" s="12">
        <v>0.56999999999999995</v>
      </c>
      <c r="G2" t="s">
        <v>65</v>
      </c>
      <c r="H2" t="s">
        <v>238</v>
      </c>
      <c r="I2" s="3">
        <v>0.3</v>
      </c>
      <c r="J2" t="s">
        <v>233</v>
      </c>
      <c r="K2" s="3">
        <v>0.24</v>
      </c>
      <c r="L2" t="s">
        <v>235</v>
      </c>
      <c r="M2" s="3">
        <v>0.19</v>
      </c>
      <c r="N2" t="s">
        <v>236</v>
      </c>
      <c r="O2" s="3">
        <v>0.15</v>
      </c>
      <c r="P2" t="s">
        <v>237</v>
      </c>
      <c r="Q2" s="3">
        <v>0.12</v>
      </c>
    </row>
    <row r="3" spans="1:17" ht="29">
      <c r="A3" t="s">
        <v>99</v>
      </c>
      <c r="B3" t="s">
        <v>100</v>
      </c>
      <c r="C3" s="13" t="s">
        <v>215</v>
      </c>
      <c r="D3" s="19">
        <v>2340</v>
      </c>
      <c r="E3" s="12">
        <v>0.30399999999999999</v>
      </c>
      <c r="F3" s="12">
        <v>0.47099999999999997</v>
      </c>
      <c r="G3" t="s">
        <v>65</v>
      </c>
      <c r="H3" t="s">
        <v>238</v>
      </c>
      <c r="I3" s="3">
        <v>0.3</v>
      </c>
      <c r="J3" t="s">
        <v>233</v>
      </c>
      <c r="K3" s="3">
        <v>0.24</v>
      </c>
      <c r="L3" t="s">
        <v>235</v>
      </c>
      <c r="M3" s="3">
        <v>0.19</v>
      </c>
      <c r="N3" t="s">
        <v>236</v>
      </c>
      <c r="O3" s="3">
        <v>0.15</v>
      </c>
      <c r="P3" t="s">
        <v>237</v>
      </c>
      <c r="Q3" s="3">
        <v>0.12</v>
      </c>
    </row>
    <row r="4" spans="1:17">
      <c r="A4" t="s">
        <v>99</v>
      </c>
      <c r="B4" t="s">
        <v>99</v>
      </c>
      <c r="C4" s="13" t="s">
        <v>216</v>
      </c>
      <c r="D4" s="19">
        <v>1900</v>
      </c>
      <c r="E4" s="12">
        <v>0.28799999999999998</v>
      </c>
      <c r="F4" s="12">
        <v>0.44600000000000001</v>
      </c>
      <c r="G4" t="s">
        <v>65</v>
      </c>
      <c r="H4" t="s">
        <v>238</v>
      </c>
      <c r="I4" s="3">
        <v>0.3</v>
      </c>
      <c r="J4" t="s">
        <v>233</v>
      </c>
      <c r="K4" s="3">
        <v>0.24</v>
      </c>
      <c r="L4" t="s">
        <v>235</v>
      </c>
      <c r="M4" s="3">
        <v>0.19</v>
      </c>
      <c r="N4" t="s">
        <v>236</v>
      </c>
      <c r="O4" s="3">
        <v>0.15</v>
      </c>
      <c r="P4" t="s">
        <v>237</v>
      </c>
      <c r="Q4" s="3">
        <v>0.12</v>
      </c>
    </row>
    <row r="5" spans="1:17">
      <c r="A5" t="s">
        <v>99</v>
      </c>
      <c r="B5" t="s">
        <v>103</v>
      </c>
      <c r="C5" s="13" t="s">
        <v>217</v>
      </c>
      <c r="D5" s="19">
        <v>3582</v>
      </c>
      <c r="E5" s="12">
        <v>0.32</v>
      </c>
      <c r="F5" s="12">
        <v>0.496</v>
      </c>
      <c r="G5" t="s">
        <v>65</v>
      </c>
      <c r="H5" t="s">
        <v>238</v>
      </c>
      <c r="I5" s="3">
        <v>0.3</v>
      </c>
      <c r="J5" t="s">
        <v>233</v>
      </c>
      <c r="K5" s="3">
        <v>0.24</v>
      </c>
      <c r="L5" t="s">
        <v>235</v>
      </c>
      <c r="M5" s="3">
        <v>0.19</v>
      </c>
      <c r="N5" t="s">
        <v>236</v>
      </c>
      <c r="O5" s="3">
        <v>0.15</v>
      </c>
      <c r="P5" t="s">
        <v>237</v>
      </c>
      <c r="Q5" s="3">
        <v>0.12</v>
      </c>
    </row>
    <row r="6" spans="1:17">
      <c r="A6" t="s">
        <v>122</v>
      </c>
      <c r="B6" t="s">
        <v>128</v>
      </c>
      <c r="C6" s="13" t="s">
        <v>218</v>
      </c>
      <c r="D6" s="19">
        <v>1119</v>
      </c>
      <c r="E6" s="12">
        <v>0.33600000000000002</v>
      </c>
      <c r="F6" s="12">
        <v>0.52100000000000002</v>
      </c>
      <c r="G6" t="s">
        <v>65</v>
      </c>
      <c r="H6" t="s">
        <v>238</v>
      </c>
      <c r="I6" s="3">
        <v>0.3</v>
      </c>
      <c r="J6" t="s">
        <v>233</v>
      </c>
      <c r="K6" s="3">
        <v>0.24</v>
      </c>
      <c r="L6" t="s">
        <v>235</v>
      </c>
      <c r="M6" s="3">
        <v>0.19</v>
      </c>
      <c r="N6" t="s">
        <v>236</v>
      </c>
      <c r="O6" s="3">
        <v>0.15</v>
      </c>
      <c r="P6" t="s">
        <v>237</v>
      </c>
      <c r="Q6" s="3">
        <v>0.12</v>
      </c>
    </row>
    <row r="7" spans="1:17">
      <c r="A7" t="s">
        <v>122</v>
      </c>
      <c r="B7" t="s">
        <v>124</v>
      </c>
      <c r="C7" s="13" t="s">
        <v>219</v>
      </c>
      <c r="D7" s="19">
        <v>692</v>
      </c>
      <c r="E7" s="12">
        <v>0.35199999999999998</v>
      </c>
      <c r="F7" s="12">
        <v>0.54600000000000004</v>
      </c>
      <c r="G7" t="s">
        <v>65</v>
      </c>
      <c r="H7" t="s">
        <v>238</v>
      </c>
      <c r="I7" s="3">
        <v>0.3</v>
      </c>
      <c r="J7" t="s">
        <v>233</v>
      </c>
      <c r="K7" s="3">
        <v>0.24</v>
      </c>
      <c r="L7" t="s">
        <v>235</v>
      </c>
      <c r="M7" s="3">
        <v>0.19</v>
      </c>
      <c r="N7" t="s">
        <v>236</v>
      </c>
      <c r="O7" s="3">
        <v>0.15</v>
      </c>
      <c r="P7" t="s">
        <v>237</v>
      </c>
      <c r="Q7" s="3">
        <v>0.12</v>
      </c>
    </row>
    <row r="8" spans="1:17">
      <c r="A8" t="s">
        <v>59</v>
      </c>
      <c r="B8" t="s">
        <v>63</v>
      </c>
      <c r="C8" s="13" t="s">
        <v>220</v>
      </c>
      <c r="D8" s="19">
        <v>781</v>
      </c>
      <c r="E8" s="12">
        <v>0.35199999999999998</v>
      </c>
      <c r="F8" s="12">
        <v>0.54600000000000004</v>
      </c>
      <c r="G8" t="s">
        <v>65</v>
      </c>
      <c r="H8" t="s">
        <v>238</v>
      </c>
      <c r="I8" s="3">
        <v>0.3</v>
      </c>
      <c r="J8" t="s">
        <v>233</v>
      </c>
      <c r="K8" s="3">
        <v>0.24</v>
      </c>
      <c r="L8" t="s">
        <v>235</v>
      </c>
      <c r="M8" s="3">
        <v>0.19</v>
      </c>
      <c r="N8" t="s">
        <v>236</v>
      </c>
      <c r="O8" s="3">
        <v>0.15</v>
      </c>
      <c r="P8" t="s">
        <v>237</v>
      </c>
      <c r="Q8" s="3">
        <v>0.12</v>
      </c>
    </row>
    <row r="9" spans="1:17">
      <c r="A9" t="s">
        <v>59</v>
      </c>
      <c r="B9" t="s">
        <v>59</v>
      </c>
      <c r="C9" s="13" t="s">
        <v>221</v>
      </c>
      <c r="D9" s="19">
        <v>1304</v>
      </c>
      <c r="E9" s="12">
        <v>0.30399999999999999</v>
      </c>
      <c r="F9" s="12">
        <v>0.47099999999999997</v>
      </c>
      <c r="G9" t="s">
        <v>65</v>
      </c>
      <c r="H9" t="s">
        <v>238</v>
      </c>
      <c r="I9" s="3">
        <v>0.3</v>
      </c>
      <c r="J9" t="s">
        <v>233</v>
      </c>
      <c r="K9" s="3">
        <v>0.24</v>
      </c>
      <c r="L9" t="s">
        <v>235</v>
      </c>
      <c r="M9" s="3">
        <v>0.19</v>
      </c>
      <c r="N9" t="s">
        <v>236</v>
      </c>
      <c r="O9" s="3">
        <v>0.15</v>
      </c>
      <c r="P9" t="s">
        <v>237</v>
      </c>
      <c r="Q9" s="3">
        <v>0.12</v>
      </c>
    </row>
    <row r="10" spans="1:17">
      <c r="A10" t="s">
        <v>99</v>
      </c>
      <c r="B10" t="s">
        <v>105</v>
      </c>
      <c r="C10" s="13" t="s">
        <v>222</v>
      </c>
      <c r="D10" s="19">
        <v>2848</v>
      </c>
      <c r="E10" s="12">
        <v>0.32</v>
      </c>
      <c r="F10" s="12">
        <v>0.496</v>
      </c>
      <c r="G10" t="s">
        <v>65</v>
      </c>
      <c r="H10" t="s">
        <v>238</v>
      </c>
      <c r="I10" s="3">
        <v>0.3</v>
      </c>
      <c r="J10" t="s">
        <v>233</v>
      </c>
      <c r="K10" s="3">
        <v>0.24</v>
      </c>
      <c r="L10" t="s">
        <v>235</v>
      </c>
      <c r="M10" s="3">
        <v>0.19</v>
      </c>
      <c r="N10" t="s">
        <v>236</v>
      </c>
      <c r="O10" s="3">
        <v>0.15</v>
      </c>
      <c r="P10" t="s">
        <v>237</v>
      </c>
      <c r="Q10" s="3">
        <v>0.12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C77B4-4F75-436D-A834-637B2C65627B}">
  <dimension ref="A1:S10"/>
  <sheetViews>
    <sheetView topLeftCell="H2" workbookViewId="0">
      <selection activeCell="U5" sqref="U5"/>
    </sheetView>
  </sheetViews>
  <sheetFormatPr defaultRowHeight="14.5"/>
  <cols>
    <col min="1" max="1" width="17.26953125" customWidth="1"/>
    <col min="2" max="2" width="17" customWidth="1"/>
    <col min="3" max="3" width="48.1796875" customWidth="1"/>
    <col min="4" max="4" width="8.26953125" bestFit="1" customWidth="1"/>
    <col min="5" max="5" width="8.453125" bestFit="1" customWidth="1"/>
    <col min="6" max="6" width="8.54296875" bestFit="1" customWidth="1"/>
    <col min="7" max="7" width="12.54296875" customWidth="1"/>
    <col min="8" max="19" width="7.54296875" bestFit="1" customWidth="1"/>
  </cols>
  <sheetData>
    <row r="1" spans="1:19" ht="112">
      <c r="A1" s="20" t="s">
        <v>24</v>
      </c>
      <c r="B1" s="20" t="s">
        <v>25</v>
      </c>
      <c r="C1" s="20" t="s">
        <v>210</v>
      </c>
      <c r="D1" s="20" t="s">
        <v>211</v>
      </c>
      <c r="E1" s="20" t="s">
        <v>227</v>
      </c>
      <c r="F1" s="20" t="s">
        <v>228</v>
      </c>
      <c r="G1" s="20" t="s">
        <v>30</v>
      </c>
      <c r="H1" s="20" t="s">
        <v>31</v>
      </c>
      <c r="I1" s="20" t="s">
        <v>175</v>
      </c>
      <c r="J1" s="20" t="s">
        <v>33</v>
      </c>
      <c r="K1" s="20" t="s">
        <v>34</v>
      </c>
      <c r="L1" s="20" t="s">
        <v>35</v>
      </c>
      <c r="M1" s="20" t="s">
        <v>176</v>
      </c>
      <c r="N1" s="20" t="s">
        <v>37</v>
      </c>
      <c r="O1" s="20" t="s">
        <v>177</v>
      </c>
      <c r="P1" s="20" t="s">
        <v>39</v>
      </c>
      <c r="Q1" s="20" t="s">
        <v>40</v>
      </c>
      <c r="R1" s="20" t="s">
        <v>41</v>
      </c>
      <c r="S1" s="20" t="s">
        <v>42</v>
      </c>
    </row>
    <row r="2" spans="1:19" ht="15" thickBot="1">
      <c r="A2" s="2" t="s">
        <v>43</v>
      </c>
      <c r="B2" s="2" t="s">
        <v>43</v>
      </c>
      <c r="C2" s="8" t="s">
        <v>214</v>
      </c>
      <c r="D2" s="9">
        <v>2723</v>
      </c>
      <c r="E2" s="17">
        <v>0.27600000000000002</v>
      </c>
      <c r="F2" s="17">
        <f>MIN(100%,ROUND(E2*1.6,3))</f>
        <v>0.442</v>
      </c>
      <c r="G2" s="2" t="str">
        <f>IF(F2&gt;35%,"Tinggi",IF(F2&gt;=20%,"Sedang","Rendah"))</f>
        <v>Tinggi</v>
      </c>
      <c r="H2" s="17">
        <f>MIN(100%,ROUND($E2*1.2,3))</f>
        <v>0.33100000000000002</v>
      </c>
      <c r="I2" s="17">
        <f>MIN(100%,ROUND($E2*1.25,3))</f>
        <v>0.34499999999999997</v>
      </c>
      <c r="J2" s="17">
        <f>MIN(100%,ROUND($E2*1.15,3))</f>
        <v>0.317</v>
      </c>
      <c r="K2" s="17">
        <f>MIN(100%,ROUND($E2*1,3))</f>
        <v>0.27600000000000002</v>
      </c>
      <c r="L2" s="17">
        <f>MIN(100%,ROUND($E2*0.85,3))</f>
        <v>0.23499999999999999</v>
      </c>
      <c r="M2" s="17">
        <f>MIN(100%,ROUND($E2*0.7,3))</f>
        <v>0.193</v>
      </c>
      <c r="N2" s="17">
        <f>MIN(100%,ROUND($E2*0.65,3))</f>
        <v>0.17899999999999999</v>
      </c>
      <c r="O2" s="17">
        <f>MIN(100%,ROUND($E2*0.7,3))</f>
        <v>0.193</v>
      </c>
      <c r="P2" s="17">
        <f>MIN(100%,ROUND($E2*0.85,3))</f>
        <v>0.23499999999999999</v>
      </c>
      <c r="Q2" s="17">
        <f>MIN(100%,ROUND($E2*1,3))</f>
        <v>0.27600000000000002</v>
      </c>
      <c r="R2" s="17">
        <f>MIN(100%,ROUND($E2*1.1,3))</f>
        <v>0.30399999999999999</v>
      </c>
      <c r="S2" s="17">
        <f>MIN(100%,ROUND($E2*1.2,3))</f>
        <v>0.33100000000000002</v>
      </c>
    </row>
    <row r="3" spans="1:19" ht="15" thickBot="1">
      <c r="A3" s="6" t="s">
        <v>99</v>
      </c>
      <c r="B3" s="6" t="s">
        <v>100</v>
      </c>
      <c r="C3" s="7" t="s">
        <v>215</v>
      </c>
      <c r="D3" s="10">
        <v>2340</v>
      </c>
      <c r="E3" s="18">
        <v>0.22800000000000001</v>
      </c>
      <c r="F3" s="18">
        <f>MIN(100%,ROUND(E3*1.6,3))</f>
        <v>0.36499999999999999</v>
      </c>
      <c r="G3" s="6" t="str">
        <f>IF(F3&gt;35%,"Tinggi",IF(F3&gt;=20%,"Sedang","Rendah"))</f>
        <v>Tinggi</v>
      </c>
      <c r="H3" s="18">
        <f>MIN(100%,ROUND($E3*1.2,3))</f>
        <v>0.27400000000000002</v>
      </c>
      <c r="I3" s="18">
        <f>MIN(100%,ROUND($E3*1.25,3))</f>
        <v>0.28499999999999998</v>
      </c>
      <c r="J3" s="18">
        <f>MIN(100%,ROUND($E3*1.15,3))</f>
        <v>0.26200000000000001</v>
      </c>
      <c r="K3" s="18">
        <f>MIN(100%,ROUND($E3*1,3))</f>
        <v>0.22800000000000001</v>
      </c>
      <c r="L3" s="18">
        <f>MIN(100%,ROUND($E3*0.85,3))</f>
        <v>0.19400000000000001</v>
      </c>
      <c r="M3" s="18">
        <f>MIN(100%,ROUND($E3*0.7,3))</f>
        <v>0.16</v>
      </c>
      <c r="N3" s="18">
        <f>MIN(100%,ROUND($E3*0.65,3))</f>
        <v>0.14799999999999999</v>
      </c>
      <c r="O3" s="18">
        <f>MIN(100%,ROUND($E3*0.7,3))</f>
        <v>0.16</v>
      </c>
      <c r="P3" s="18">
        <f>MIN(100%,ROUND($E3*0.85,3))</f>
        <v>0.19400000000000001</v>
      </c>
      <c r="Q3" s="18">
        <f>MIN(100%,ROUND($E3*1,3))</f>
        <v>0.22800000000000001</v>
      </c>
      <c r="R3" s="18">
        <f>MIN(100%,ROUND($E3*1.1,3))</f>
        <v>0.251</v>
      </c>
      <c r="S3" s="18">
        <f>MIN(100%,ROUND($E3*1.2,3))</f>
        <v>0.27400000000000002</v>
      </c>
    </row>
    <row r="4" spans="1:19" ht="15" thickBot="1">
      <c r="A4" s="6" t="s">
        <v>99</v>
      </c>
      <c r="B4" s="6" t="s">
        <v>99</v>
      </c>
      <c r="C4" s="7" t="s">
        <v>216</v>
      </c>
      <c r="D4" s="10">
        <v>1900</v>
      </c>
      <c r="E4" s="18">
        <v>0.216</v>
      </c>
      <c r="F4" s="18">
        <f>MIN(100%,ROUND(E4*1.6,3))</f>
        <v>0.34599999999999997</v>
      </c>
      <c r="G4" s="6" t="str">
        <f>IF(F4&gt;35%,"Tinggi",IF(F4&gt;=20%,"Sedang","Rendah"))</f>
        <v>Sedang</v>
      </c>
      <c r="H4" s="18">
        <f>MIN(100%,ROUND($E4*1.2,3))</f>
        <v>0.25900000000000001</v>
      </c>
      <c r="I4" s="18">
        <f>MIN(100%,ROUND($E4*1.25,3))</f>
        <v>0.27</v>
      </c>
      <c r="J4" s="18">
        <f>MIN(100%,ROUND($E4*1.15,3))</f>
        <v>0.248</v>
      </c>
      <c r="K4" s="18">
        <f>MIN(100%,ROUND($E4*1,3))</f>
        <v>0.216</v>
      </c>
      <c r="L4" s="18">
        <f>MIN(100%,ROUND($E4*0.85,3))</f>
        <v>0.184</v>
      </c>
      <c r="M4" s="18">
        <f>MIN(100%,ROUND($E4*0.7,3))</f>
        <v>0.151</v>
      </c>
      <c r="N4" s="18">
        <f>MIN(100%,ROUND($E4*0.65,3))</f>
        <v>0.14000000000000001</v>
      </c>
      <c r="O4" s="18">
        <f>MIN(100%,ROUND($E4*0.7,3))</f>
        <v>0.151</v>
      </c>
      <c r="P4" s="18">
        <f>MIN(100%,ROUND($E4*0.85,3))</f>
        <v>0.184</v>
      </c>
      <c r="Q4" s="18">
        <f>MIN(100%,ROUND($E4*1,3))</f>
        <v>0.216</v>
      </c>
      <c r="R4" s="18">
        <f>MIN(100%,ROUND($E4*1.1,3))</f>
        <v>0.23799999999999999</v>
      </c>
      <c r="S4" s="18">
        <f>MIN(100%,ROUND($E4*1.2,3))</f>
        <v>0.25900000000000001</v>
      </c>
    </row>
    <row r="5" spans="1:19" ht="15" thickBot="1">
      <c r="A5" s="6" t="s">
        <v>99</v>
      </c>
      <c r="B5" s="6" t="s">
        <v>103</v>
      </c>
      <c r="C5" s="7" t="s">
        <v>217</v>
      </c>
      <c r="D5" s="10">
        <v>3582</v>
      </c>
      <c r="E5" s="18">
        <v>0.24</v>
      </c>
      <c r="F5" s="18">
        <f>MIN(100%,ROUND(E5*1.6,3))</f>
        <v>0.38400000000000001</v>
      </c>
      <c r="G5" s="6" t="str">
        <f>IF(F5&gt;35%,"Tinggi",IF(F5&gt;=20%,"Sedang","Rendah"))</f>
        <v>Tinggi</v>
      </c>
      <c r="H5" s="18">
        <f>MIN(100%,ROUND($E5*1.2,3))</f>
        <v>0.28799999999999998</v>
      </c>
      <c r="I5" s="18">
        <f>MIN(100%,ROUND($E5*1.25,3))</f>
        <v>0.3</v>
      </c>
      <c r="J5" s="18">
        <f>MIN(100%,ROUND($E5*1.15,3))</f>
        <v>0.27600000000000002</v>
      </c>
      <c r="K5" s="18">
        <f>MIN(100%,ROUND($E5*1,3))</f>
        <v>0.24</v>
      </c>
      <c r="L5" s="18">
        <f>MIN(100%,ROUND($E5*0.85,3))</f>
        <v>0.20399999999999999</v>
      </c>
      <c r="M5" s="18">
        <f>MIN(100%,ROUND($E5*0.7,3))</f>
        <v>0.16800000000000001</v>
      </c>
      <c r="N5" s="18">
        <f>MIN(100%,ROUND($E5*0.65,3))</f>
        <v>0.156</v>
      </c>
      <c r="O5" s="18">
        <f>MIN(100%,ROUND($E5*0.7,3))</f>
        <v>0.16800000000000001</v>
      </c>
      <c r="P5" s="18">
        <f>MIN(100%,ROUND($E5*0.85,3))</f>
        <v>0.20399999999999999</v>
      </c>
      <c r="Q5" s="18">
        <f>MIN(100%,ROUND($E5*1,3))</f>
        <v>0.24</v>
      </c>
      <c r="R5" s="18">
        <f>MIN(100%,ROUND($E5*1.1,3))</f>
        <v>0.26400000000000001</v>
      </c>
      <c r="S5" s="18">
        <f>MIN(100%,ROUND($E5*1.2,3))</f>
        <v>0.28799999999999998</v>
      </c>
    </row>
    <row r="6" spans="1:19" ht="15" thickBot="1">
      <c r="A6" s="6" t="s">
        <v>122</v>
      </c>
      <c r="B6" s="6" t="s">
        <v>128</v>
      </c>
      <c r="C6" s="7" t="s">
        <v>218</v>
      </c>
      <c r="D6" s="10">
        <v>1119</v>
      </c>
      <c r="E6" s="18">
        <v>0.252</v>
      </c>
      <c r="F6" s="18">
        <f>MIN(100%,ROUND(E6*1.6,3))</f>
        <v>0.40300000000000002</v>
      </c>
      <c r="G6" s="6" t="str">
        <f>IF(F6&gt;35%,"Tinggi",IF(F6&gt;=20%,"Sedang","Rendah"))</f>
        <v>Tinggi</v>
      </c>
      <c r="H6" s="18">
        <f>MIN(100%,ROUND($E6*1.2,3))</f>
        <v>0.30199999999999999</v>
      </c>
      <c r="I6" s="18">
        <f>MIN(100%,ROUND($E6*1.25,3))</f>
        <v>0.315</v>
      </c>
      <c r="J6" s="18">
        <f>MIN(100%,ROUND($E6*1.15,3))</f>
        <v>0.28999999999999998</v>
      </c>
      <c r="K6" s="18">
        <f>MIN(100%,ROUND($E6*1,3))</f>
        <v>0.252</v>
      </c>
      <c r="L6" s="18">
        <f>MIN(100%,ROUND($E6*0.85,3))</f>
        <v>0.214</v>
      </c>
      <c r="M6" s="18">
        <f>MIN(100%,ROUND($E6*0.7,3))</f>
        <v>0.17599999999999999</v>
      </c>
      <c r="N6" s="18">
        <f>MIN(100%,ROUND($E6*0.65,3))</f>
        <v>0.16400000000000001</v>
      </c>
      <c r="O6" s="18">
        <f>MIN(100%,ROUND($E6*0.7,3))</f>
        <v>0.17599999999999999</v>
      </c>
      <c r="P6" s="18">
        <f>MIN(100%,ROUND($E6*0.85,3))</f>
        <v>0.214</v>
      </c>
      <c r="Q6" s="18">
        <f>MIN(100%,ROUND($E6*1,3))</f>
        <v>0.252</v>
      </c>
      <c r="R6" s="18">
        <f>MIN(100%,ROUND($E6*1.1,3))</f>
        <v>0.27700000000000002</v>
      </c>
      <c r="S6" s="18">
        <f>MIN(100%,ROUND($E6*1.2,3))</f>
        <v>0.30199999999999999</v>
      </c>
    </row>
    <row r="7" spans="1:19" ht="15" thickBot="1">
      <c r="A7" s="6" t="s">
        <v>122</v>
      </c>
      <c r="B7" s="6" t="s">
        <v>124</v>
      </c>
      <c r="C7" s="7" t="s">
        <v>219</v>
      </c>
      <c r="D7" s="10">
        <v>692</v>
      </c>
      <c r="E7" s="18">
        <v>0.26400000000000001</v>
      </c>
      <c r="F7" s="18">
        <f>MIN(100%,ROUND(E7*1.6,3))</f>
        <v>0.42199999999999999</v>
      </c>
      <c r="G7" s="6" t="str">
        <f>IF(F7&gt;35%,"Tinggi",IF(F7&gt;=20%,"Sedang","Rendah"))</f>
        <v>Tinggi</v>
      </c>
      <c r="H7" s="18">
        <f>MIN(100%,ROUND($E7*1.2,3))</f>
        <v>0.317</v>
      </c>
      <c r="I7" s="18">
        <f>MIN(100%,ROUND($E7*1.25,3))</f>
        <v>0.33</v>
      </c>
      <c r="J7" s="18">
        <f>MIN(100%,ROUND($E7*1.15,3))</f>
        <v>0.30399999999999999</v>
      </c>
      <c r="K7" s="18">
        <f>MIN(100%,ROUND($E7*1,3))</f>
        <v>0.26400000000000001</v>
      </c>
      <c r="L7" s="18">
        <f>MIN(100%,ROUND($E7*0.85,3))</f>
        <v>0.224</v>
      </c>
      <c r="M7" s="18">
        <f>MIN(100%,ROUND($E7*0.7,3))</f>
        <v>0.185</v>
      </c>
      <c r="N7" s="18">
        <f>MIN(100%,ROUND($E7*0.65,3))</f>
        <v>0.17199999999999999</v>
      </c>
      <c r="O7" s="18">
        <f>MIN(100%,ROUND($E7*0.7,3))</f>
        <v>0.185</v>
      </c>
      <c r="P7" s="18">
        <f>MIN(100%,ROUND($E7*0.85,3))</f>
        <v>0.224</v>
      </c>
      <c r="Q7" s="18">
        <f>MIN(100%,ROUND($E7*1,3))</f>
        <v>0.26400000000000001</v>
      </c>
      <c r="R7" s="18">
        <f>MIN(100%,ROUND($E7*1.1,3))</f>
        <v>0.28999999999999998</v>
      </c>
      <c r="S7" s="18">
        <f>MIN(100%,ROUND($E7*1.2,3))</f>
        <v>0.317</v>
      </c>
    </row>
    <row r="8" spans="1:19" ht="15" thickBot="1">
      <c r="A8" s="6" t="s">
        <v>59</v>
      </c>
      <c r="B8" s="6" t="s">
        <v>63</v>
      </c>
      <c r="C8" s="7" t="s">
        <v>220</v>
      </c>
      <c r="D8" s="10">
        <v>781</v>
      </c>
      <c r="E8" s="18">
        <v>0.26400000000000001</v>
      </c>
      <c r="F8" s="18">
        <f>MIN(100%,ROUND(E8*1.6,3))</f>
        <v>0.42199999999999999</v>
      </c>
      <c r="G8" s="6" t="str">
        <f>IF(F8&gt;35%,"Tinggi",IF(F8&gt;=20%,"Sedang","Rendah"))</f>
        <v>Tinggi</v>
      </c>
      <c r="H8" s="18">
        <f>MIN(100%,ROUND($E8*1.2,3))</f>
        <v>0.317</v>
      </c>
      <c r="I8" s="18">
        <f>MIN(100%,ROUND($E8*1.25,3))</f>
        <v>0.33</v>
      </c>
      <c r="J8" s="18">
        <f>MIN(100%,ROUND($E8*1.15,3))</f>
        <v>0.30399999999999999</v>
      </c>
      <c r="K8" s="18">
        <f>MIN(100%,ROUND($E8*1,3))</f>
        <v>0.26400000000000001</v>
      </c>
      <c r="L8" s="18">
        <f>MIN(100%,ROUND($E8*0.85,3))</f>
        <v>0.224</v>
      </c>
      <c r="M8" s="18">
        <f>MIN(100%,ROUND($E8*0.7,3))</f>
        <v>0.185</v>
      </c>
      <c r="N8" s="18">
        <f>MIN(100%,ROUND($E8*0.65,3))</f>
        <v>0.17199999999999999</v>
      </c>
      <c r="O8" s="18">
        <f>MIN(100%,ROUND($E8*0.7,3))</f>
        <v>0.185</v>
      </c>
      <c r="P8" s="18">
        <f>MIN(100%,ROUND($E8*0.85,3))</f>
        <v>0.224</v>
      </c>
      <c r="Q8" s="18">
        <f>MIN(100%,ROUND($E8*1,3))</f>
        <v>0.26400000000000001</v>
      </c>
      <c r="R8" s="18">
        <f>MIN(100%,ROUND($E8*1.1,3))</f>
        <v>0.28999999999999998</v>
      </c>
      <c r="S8" s="18">
        <f>MIN(100%,ROUND($E8*1.2,3))</f>
        <v>0.317</v>
      </c>
    </row>
    <row r="9" spans="1:19" ht="15" thickBot="1">
      <c r="A9" s="6" t="s">
        <v>59</v>
      </c>
      <c r="B9" s="6" t="s">
        <v>59</v>
      </c>
      <c r="C9" s="7" t="s">
        <v>221</v>
      </c>
      <c r="D9" s="10">
        <v>1304</v>
      </c>
      <c r="E9" s="18">
        <v>0.22800000000000001</v>
      </c>
      <c r="F9" s="18">
        <f>MIN(100%,ROUND(E9*1.6,3))</f>
        <v>0.36499999999999999</v>
      </c>
      <c r="G9" s="6" t="str">
        <f>IF(F9&gt;35%,"Tinggi",IF(F9&gt;=20%,"Sedang","Rendah"))</f>
        <v>Tinggi</v>
      </c>
      <c r="H9" s="18">
        <f>MIN(100%,ROUND($E9*1.2,3))</f>
        <v>0.27400000000000002</v>
      </c>
      <c r="I9" s="18">
        <f>MIN(100%,ROUND($E9*1.25,3))</f>
        <v>0.28499999999999998</v>
      </c>
      <c r="J9" s="18">
        <f>MIN(100%,ROUND($E9*1.15,3))</f>
        <v>0.26200000000000001</v>
      </c>
      <c r="K9" s="18">
        <f>MIN(100%,ROUND($E9*1,3))</f>
        <v>0.22800000000000001</v>
      </c>
      <c r="L9" s="18">
        <f>MIN(100%,ROUND($E9*0.85,3))</f>
        <v>0.19400000000000001</v>
      </c>
      <c r="M9" s="18">
        <f>MIN(100%,ROUND($E9*0.7,3))</f>
        <v>0.16</v>
      </c>
      <c r="N9" s="18">
        <f>MIN(100%,ROUND($E9*0.65,3))</f>
        <v>0.14799999999999999</v>
      </c>
      <c r="O9" s="18">
        <f>MIN(100%,ROUND($E9*0.7,3))</f>
        <v>0.16</v>
      </c>
      <c r="P9" s="18">
        <f>MIN(100%,ROUND($E9*0.85,3))</f>
        <v>0.19400000000000001</v>
      </c>
      <c r="Q9" s="18">
        <f>MIN(100%,ROUND($E9*1,3))</f>
        <v>0.22800000000000001</v>
      </c>
      <c r="R9" s="18">
        <f>MIN(100%,ROUND($E9*1.1,3))</f>
        <v>0.251</v>
      </c>
      <c r="S9" s="18">
        <f>MIN(100%,ROUND($E9*1.2,3))</f>
        <v>0.27400000000000002</v>
      </c>
    </row>
    <row r="10" spans="1:19">
      <c r="A10" s="6" t="s">
        <v>99</v>
      </c>
      <c r="B10" s="6" t="s">
        <v>105</v>
      </c>
      <c r="C10" s="7" t="s">
        <v>222</v>
      </c>
      <c r="D10" s="10">
        <v>2848</v>
      </c>
      <c r="E10" s="18">
        <v>0.24</v>
      </c>
      <c r="F10" s="18">
        <f>MIN(100%,ROUND(E10*1.6,3))</f>
        <v>0.38400000000000001</v>
      </c>
      <c r="G10" s="6" t="str">
        <f>IF(F10&gt;35%,"Tinggi",IF(F10&gt;=20%,"Sedang","Rendah"))</f>
        <v>Tinggi</v>
      </c>
      <c r="H10" s="18">
        <f>MIN(100%,ROUND($E10*1.2,3))</f>
        <v>0.28799999999999998</v>
      </c>
      <c r="I10" s="18">
        <f>MIN(100%,ROUND($E10*1.25,3))</f>
        <v>0.3</v>
      </c>
      <c r="J10" s="18">
        <f>MIN(100%,ROUND($E10*1.15,3))</f>
        <v>0.27600000000000002</v>
      </c>
      <c r="K10" s="18">
        <f>MIN(100%,ROUND($E10*1,3))</f>
        <v>0.24</v>
      </c>
      <c r="L10" s="18">
        <f>MIN(100%,ROUND($E10*0.85,3))</f>
        <v>0.20399999999999999</v>
      </c>
      <c r="M10" s="18">
        <f>MIN(100%,ROUND($E10*0.7,3))</f>
        <v>0.16800000000000001</v>
      </c>
      <c r="N10" s="18">
        <f>MIN(100%,ROUND($E10*0.65,3))</f>
        <v>0.156</v>
      </c>
      <c r="O10" s="18">
        <f>MIN(100%,ROUND($E10*0.7,3))</f>
        <v>0.16800000000000001</v>
      </c>
      <c r="P10" s="18">
        <f>MIN(100%,ROUND($E10*0.85,3))</f>
        <v>0.20399999999999999</v>
      </c>
      <c r="Q10" s="18">
        <f>MIN(100%,ROUND($E10*1,3))</f>
        <v>0.24</v>
      </c>
      <c r="R10" s="18">
        <f>MIN(100%,ROUND($E10*1.1,3))</f>
        <v>0.26400000000000001</v>
      </c>
      <c r="S10" s="18">
        <f>MIN(100%,ROUND($E10*1.2,3))</f>
        <v>0.28799999999999998</v>
      </c>
    </row>
  </sheetData>
  <conditionalFormatting sqref="G2:G10">
    <cfRule type="expression" dxfId="14" priority="1">
      <formula>$G2="Tinggi"</formula>
    </cfRule>
  </conditionalFormatting>
  <conditionalFormatting sqref="G2:G10">
    <cfRule type="expression" dxfId="13" priority="2">
      <formula>$G2="Sedang"</formula>
    </cfRule>
  </conditionalFormatting>
  <conditionalFormatting sqref="G2:G10">
    <cfRule type="expression" dxfId="12" priority="3">
      <formula>$G2="Rendah"</formula>
    </cfRule>
  </conditionalFormatting>
  <conditionalFormatting sqref="E2:S10">
    <cfRule type="colorScale" priority="4">
      <colorScale>
        <cfvo type="min"/>
        <cfvo type="percentile" val="50"/>
        <cfvo type="max"/>
        <color rgb="FFFFFFFF"/>
        <color rgb="FFFFD966"/>
        <color rgb="FF63BE7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61FD1-6AC6-44D2-A4FB-6BF1F63A795F}">
  <dimension ref="A1:Q10"/>
  <sheetViews>
    <sheetView workbookViewId="0"/>
  </sheetViews>
  <sheetFormatPr defaultRowHeight="14.5"/>
  <cols>
    <col min="1" max="1" width="9.36328125" bestFit="1" customWidth="1"/>
    <col min="2" max="2" width="11.54296875" bestFit="1" customWidth="1"/>
    <col min="3" max="3" width="36.36328125" customWidth="1"/>
    <col min="4" max="4" width="5.7265625" bestFit="1" customWidth="1"/>
    <col min="5" max="5" width="8.6328125" bestFit="1" customWidth="1"/>
    <col min="7" max="7" width="6.7265625" bestFit="1" customWidth="1"/>
    <col min="8" max="8" width="12.6328125" bestFit="1" customWidth="1"/>
    <col min="9" max="9" width="8.1796875" bestFit="1" customWidth="1"/>
    <col min="10" max="10" width="12.6328125" bestFit="1" customWidth="1"/>
    <col min="11" max="11" width="8.1796875" bestFit="1" customWidth="1"/>
    <col min="12" max="12" width="12.36328125" bestFit="1" customWidth="1"/>
    <col min="13" max="13" width="8.1796875" bestFit="1" customWidth="1"/>
    <col min="14" max="14" width="10.6328125" bestFit="1" customWidth="1"/>
    <col min="15" max="15" width="8.1796875" bestFit="1" customWidth="1"/>
    <col min="16" max="16" width="13.453125" bestFit="1" customWidth="1"/>
    <col min="17" max="17" width="8.1796875" bestFit="1" customWidth="1"/>
  </cols>
  <sheetData>
    <row r="1" spans="1:17" ht="87">
      <c r="A1" s="11" t="s">
        <v>24</v>
      </c>
      <c r="B1" s="11" t="s">
        <v>25</v>
      </c>
      <c r="C1" s="11" t="s">
        <v>210</v>
      </c>
      <c r="D1" s="11" t="s">
        <v>211</v>
      </c>
      <c r="E1" s="11" t="s">
        <v>227</v>
      </c>
      <c r="F1" s="11" t="s">
        <v>228</v>
      </c>
      <c r="G1" s="11" t="s">
        <v>30</v>
      </c>
      <c r="H1" s="11" t="str">
        <f>"Produk 1 ("&amp;TEXT(MIN(I2:I10),"0%")&amp;"–"&amp;TEXT(MAX(I2:I10),"0%")&amp;")"</f>
        <v>Produk 1 (28%–30%)</v>
      </c>
      <c r="I1" s="11" t="s">
        <v>107</v>
      </c>
      <c r="J1" s="11" t="str">
        <f>"Produk 2 ("&amp;TEXT(MIN(K2:K10),"0%")&amp;"–"&amp;TEXT(MAX(K2:K10),"0%")&amp;")"</f>
        <v>Produk 2 (24%–24%)</v>
      </c>
      <c r="K1" s="11" t="s">
        <v>108</v>
      </c>
      <c r="L1" s="11" t="str">
        <f>"Produk 3 ("&amp;TEXT(MIN(M2:M10),"0%")&amp;"–"&amp;TEXT(MAX(M2:M10),"0%")&amp;")"</f>
        <v>Produk 3 (19%–20%)</v>
      </c>
      <c r="M1" s="11" t="s">
        <v>109</v>
      </c>
      <c r="N1" s="11" t="str">
        <f>"Produk 4 ("&amp;TEXT(MIN(O2:O10),"0%")&amp;"–"&amp;TEXT(MAX(O2:O10),"0%")&amp;")"</f>
        <v>Produk 4 (15%–16%)</v>
      </c>
      <c r="O1" s="11" t="s">
        <v>110</v>
      </c>
      <c r="P1" s="11" t="str">
        <f>"Produk 5 ("&amp;TEXT(MIN(Q2:Q10),"0%")&amp;"–"&amp;TEXT(MAX(Q2:Q10),"0%")&amp;")"</f>
        <v>Produk 5 (12%–12%)</v>
      </c>
      <c r="Q1" s="11" t="s">
        <v>111</v>
      </c>
    </row>
    <row r="2" spans="1:17" ht="29">
      <c r="A2" t="s">
        <v>43</v>
      </c>
      <c r="B2" t="s">
        <v>43</v>
      </c>
      <c r="C2" s="13" t="s">
        <v>214</v>
      </c>
      <c r="D2" s="19">
        <v>2723</v>
      </c>
      <c r="E2" s="12">
        <v>0.27600000000000002</v>
      </c>
      <c r="F2" s="12">
        <v>0.442</v>
      </c>
      <c r="G2" t="s">
        <v>65</v>
      </c>
      <c r="H2" t="s">
        <v>241</v>
      </c>
      <c r="I2" s="3">
        <v>0.3</v>
      </c>
      <c r="J2" t="s">
        <v>182</v>
      </c>
      <c r="K2" s="3">
        <v>0.24</v>
      </c>
      <c r="L2" t="s">
        <v>242</v>
      </c>
      <c r="M2" s="3">
        <v>0.19</v>
      </c>
      <c r="N2" t="s">
        <v>234</v>
      </c>
      <c r="O2" s="3">
        <v>0.15</v>
      </c>
      <c r="P2" t="s">
        <v>183</v>
      </c>
      <c r="Q2" s="3">
        <v>0.12</v>
      </c>
    </row>
    <row r="3" spans="1:17" ht="29">
      <c r="A3" t="s">
        <v>99</v>
      </c>
      <c r="B3" t="s">
        <v>100</v>
      </c>
      <c r="C3" s="13" t="s">
        <v>215</v>
      </c>
      <c r="D3" s="19">
        <v>2340</v>
      </c>
      <c r="E3" s="12">
        <v>0.22800000000000001</v>
      </c>
      <c r="F3" s="12">
        <v>0.36499999999999999</v>
      </c>
      <c r="G3" t="s">
        <v>65</v>
      </c>
      <c r="H3" t="s">
        <v>241</v>
      </c>
      <c r="I3" s="3">
        <v>0.3</v>
      </c>
      <c r="J3" t="s">
        <v>182</v>
      </c>
      <c r="K3" s="3">
        <v>0.24</v>
      </c>
      <c r="L3" t="s">
        <v>242</v>
      </c>
      <c r="M3" s="3">
        <v>0.19</v>
      </c>
      <c r="N3" t="s">
        <v>234</v>
      </c>
      <c r="O3" s="3">
        <v>0.15</v>
      </c>
      <c r="P3" t="s">
        <v>183</v>
      </c>
      <c r="Q3" s="3">
        <v>0.12</v>
      </c>
    </row>
    <row r="4" spans="1:17">
      <c r="A4" t="s">
        <v>99</v>
      </c>
      <c r="B4" t="s">
        <v>99</v>
      </c>
      <c r="C4" s="13" t="s">
        <v>216</v>
      </c>
      <c r="D4" s="19">
        <v>1900</v>
      </c>
      <c r="E4" s="12">
        <v>0.216</v>
      </c>
      <c r="F4" s="12">
        <v>0.34599999999999997</v>
      </c>
      <c r="G4" t="s">
        <v>45</v>
      </c>
      <c r="H4" t="s">
        <v>182</v>
      </c>
      <c r="I4" s="3">
        <v>0.28000000000000003</v>
      </c>
      <c r="J4" t="s">
        <v>241</v>
      </c>
      <c r="K4" s="3">
        <v>0.24</v>
      </c>
      <c r="L4" t="s">
        <v>242</v>
      </c>
      <c r="M4" s="3">
        <v>0.2</v>
      </c>
      <c r="N4" t="s">
        <v>234</v>
      </c>
      <c r="O4" s="3">
        <v>0.16</v>
      </c>
      <c r="P4" t="s">
        <v>183</v>
      </c>
      <c r="Q4" s="3">
        <v>0.12</v>
      </c>
    </row>
    <row r="5" spans="1:17">
      <c r="A5" t="s">
        <v>99</v>
      </c>
      <c r="B5" t="s">
        <v>103</v>
      </c>
      <c r="C5" s="13" t="s">
        <v>217</v>
      </c>
      <c r="D5" s="19">
        <v>3582</v>
      </c>
      <c r="E5" s="12">
        <v>0.24</v>
      </c>
      <c r="F5" s="12">
        <v>0.38400000000000001</v>
      </c>
      <c r="G5" t="s">
        <v>65</v>
      </c>
      <c r="H5" t="s">
        <v>241</v>
      </c>
      <c r="I5" s="3">
        <v>0.3</v>
      </c>
      <c r="J5" t="s">
        <v>182</v>
      </c>
      <c r="K5" s="3">
        <v>0.24</v>
      </c>
      <c r="L5" t="s">
        <v>242</v>
      </c>
      <c r="M5" s="3">
        <v>0.19</v>
      </c>
      <c r="N5" t="s">
        <v>234</v>
      </c>
      <c r="O5" s="3">
        <v>0.15</v>
      </c>
      <c r="P5" t="s">
        <v>183</v>
      </c>
      <c r="Q5" s="3">
        <v>0.12</v>
      </c>
    </row>
    <row r="6" spans="1:17">
      <c r="A6" t="s">
        <v>122</v>
      </c>
      <c r="B6" t="s">
        <v>128</v>
      </c>
      <c r="C6" s="13" t="s">
        <v>218</v>
      </c>
      <c r="D6" s="19">
        <v>1119</v>
      </c>
      <c r="E6" s="12">
        <v>0.252</v>
      </c>
      <c r="F6" s="12">
        <v>0.40300000000000002</v>
      </c>
      <c r="G6" t="s">
        <v>65</v>
      </c>
      <c r="H6" t="s">
        <v>241</v>
      </c>
      <c r="I6" s="3">
        <v>0.3</v>
      </c>
      <c r="J6" t="s">
        <v>182</v>
      </c>
      <c r="K6" s="3">
        <v>0.24</v>
      </c>
      <c r="L6" t="s">
        <v>242</v>
      </c>
      <c r="M6" s="3">
        <v>0.19</v>
      </c>
      <c r="N6" t="s">
        <v>234</v>
      </c>
      <c r="O6" s="3">
        <v>0.15</v>
      </c>
      <c r="P6" t="s">
        <v>183</v>
      </c>
      <c r="Q6" s="3">
        <v>0.12</v>
      </c>
    </row>
    <row r="7" spans="1:17">
      <c r="A7" t="s">
        <v>122</v>
      </c>
      <c r="B7" t="s">
        <v>124</v>
      </c>
      <c r="C7" s="13" t="s">
        <v>219</v>
      </c>
      <c r="D7" s="19">
        <v>692</v>
      </c>
      <c r="E7" s="12">
        <v>0.26400000000000001</v>
      </c>
      <c r="F7" s="12">
        <v>0.42199999999999999</v>
      </c>
      <c r="G7" t="s">
        <v>65</v>
      </c>
      <c r="H7" t="s">
        <v>241</v>
      </c>
      <c r="I7" s="3">
        <v>0.3</v>
      </c>
      <c r="J7" t="s">
        <v>182</v>
      </c>
      <c r="K7" s="3">
        <v>0.24</v>
      </c>
      <c r="L7" t="s">
        <v>242</v>
      </c>
      <c r="M7" s="3">
        <v>0.19</v>
      </c>
      <c r="N7" t="s">
        <v>234</v>
      </c>
      <c r="O7" s="3">
        <v>0.15</v>
      </c>
      <c r="P7" t="s">
        <v>183</v>
      </c>
      <c r="Q7" s="3">
        <v>0.12</v>
      </c>
    </row>
    <row r="8" spans="1:17">
      <c r="A8" t="s">
        <v>59</v>
      </c>
      <c r="B8" t="s">
        <v>63</v>
      </c>
      <c r="C8" s="13" t="s">
        <v>220</v>
      </c>
      <c r="D8" s="19">
        <v>781</v>
      </c>
      <c r="E8" s="12">
        <v>0.26400000000000001</v>
      </c>
      <c r="F8" s="12">
        <v>0.42199999999999999</v>
      </c>
      <c r="G8" t="s">
        <v>65</v>
      </c>
      <c r="H8" t="s">
        <v>241</v>
      </c>
      <c r="I8" s="3">
        <v>0.3</v>
      </c>
      <c r="J8" t="s">
        <v>182</v>
      </c>
      <c r="K8" s="3">
        <v>0.24</v>
      </c>
      <c r="L8" t="s">
        <v>242</v>
      </c>
      <c r="M8" s="3">
        <v>0.19</v>
      </c>
      <c r="N8" t="s">
        <v>234</v>
      </c>
      <c r="O8" s="3">
        <v>0.15</v>
      </c>
      <c r="P8" t="s">
        <v>183</v>
      </c>
      <c r="Q8" s="3">
        <v>0.12</v>
      </c>
    </row>
    <row r="9" spans="1:17">
      <c r="A9" t="s">
        <v>59</v>
      </c>
      <c r="B9" t="s">
        <v>59</v>
      </c>
      <c r="C9" s="13" t="s">
        <v>221</v>
      </c>
      <c r="D9" s="19">
        <v>1304</v>
      </c>
      <c r="E9" s="12">
        <v>0.22800000000000001</v>
      </c>
      <c r="F9" s="12">
        <v>0.36499999999999999</v>
      </c>
      <c r="G9" t="s">
        <v>65</v>
      </c>
      <c r="H9" t="s">
        <v>241</v>
      </c>
      <c r="I9" s="3">
        <v>0.3</v>
      </c>
      <c r="J9" t="s">
        <v>182</v>
      </c>
      <c r="K9" s="3">
        <v>0.24</v>
      </c>
      <c r="L9" t="s">
        <v>242</v>
      </c>
      <c r="M9" s="3">
        <v>0.19</v>
      </c>
      <c r="N9" t="s">
        <v>234</v>
      </c>
      <c r="O9" s="3">
        <v>0.15</v>
      </c>
      <c r="P9" t="s">
        <v>183</v>
      </c>
      <c r="Q9" s="3">
        <v>0.12</v>
      </c>
    </row>
    <row r="10" spans="1:17">
      <c r="A10" t="s">
        <v>99</v>
      </c>
      <c r="B10" t="s">
        <v>105</v>
      </c>
      <c r="C10" s="13" t="s">
        <v>222</v>
      </c>
      <c r="D10" s="19">
        <v>2848</v>
      </c>
      <c r="E10" s="12">
        <v>0.24</v>
      </c>
      <c r="F10" s="12">
        <v>0.38400000000000001</v>
      </c>
      <c r="G10" t="s">
        <v>65</v>
      </c>
      <c r="H10" t="s">
        <v>241</v>
      </c>
      <c r="I10" s="3">
        <v>0.3</v>
      </c>
      <c r="J10" t="s">
        <v>182</v>
      </c>
      <c r="K10" s="3">
        <v>0.24</v>
      </c>
      <c r="L10" t="s">
        <v>242</v>
      </c>
      <c r="M10" s="3">
        <v>0.19</v>
      </c>
      <c r="N10" t="s">
        <v>234</v>
      </c>
      <c r="O10" s="3">
        <v>0.15</v>
      </c>
      <c r="P10" t="s">
        <v>183</v>
      </c>
      <c r="Q10" s="3">
        <v>0.12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0D34C-0F17-4F9E-9F01-855E4FCE792A}">
  <dimension ref="A1:S10"/>
  <sheetViews>
    <sheetView workbookViewId="0"/>
  </sheetViews>
  <sheetFormatPr defaultRowHeight="14.5"/>
  <cols>
    <col min="1" max="2" width="8.54296875" bestFit="1" customWidth="1"/>
    <col min="3" max="3" width="36.36328125" customWidth="1"/>
    <col min="4" max="4" width="8.26953125" bestFit="1" customWidth="1"/>
    <col min="5" max="5" width="8.453125" bestFit="1" customWidth="1"/>
    <col min="6" max="6" width="8.54296875" bestFit="1" customWidth="1"/>
    <col min="8" max="19" width="7.54296875" bestFit="1" customWidth="1"/>
  </cols>
  <sheetData>
    <row r="1" spans="1:19" ht="112">
      <c r="A1" s="20" t="s">
        <v>24</v>
      </c>
      <c r="B1" s="20" t="s">
        <v>25</v>
      </c>
      <c r="C1" s="20" t="s">
        <v>210</v>
      </c>
      <c r="D1" s="20" t="s">
        <v>211</v>
      </c>
      <c r="E1" s="20" t="s">
        <v>229</v>
      </c>
      <c r="F1" s="20" t="s">
        <v>230</v>
      </c>
      <c r="G1" s="20" t="s">
        <v>30</v>
      </c>
      <c r="H1" s="20" t="s">
        <v>31</v>
      </c>
      <c r="I1" s="20" t="s">
        <v>175</v>
      </c>
      <c r="J1" s="20" t="s">
        <v>33</v>
      </c>
      <c r="K1" s="20" t="s">
        <v>34</v>
      </c>
      <c r="L1" s="20" t="s">
        <v>35</v>
      </c>
      <c r="M1" s="20" t="s">
        <v>176</v>
      </c>
      <c r="N1" s="20" t="s">
        <v>37</v>
      </c>
      <c r="O1" s="20" t="s">
        <v>177</v>
      </c>
      <c r="P1" s="20" t="s">
        <v>39</v>
      </c>
      <c r="Q1" s="20" t="s">
        <v>40</v>
      </c>
      <c r="R1" s="20" t="s">
        <v>41</v>
      </c>
      <c r="S1" s="20" t="s">
        <v>42</v>
      </c>
    </row>
    <row r="2" spans="1:19" ht="28.5" thickBot="1">
      <c r="A2" s="2" t="s">
        <v>43</v>
      </c>
      <c r="B2" s="2" t="s">
        <v>43</v>
      </c>
      <c r="C2" s="8" t="s">
        <v>214</v>
      </c>
      <c r="D2" s="9">
        <v>2723</v>
      </c>
      <c r="E2" s="17">
        <v>0.23</v>
      </c>
      <c r="F2" s="17">
        <f>MIN(100%,ROUND(E2*1.55,3))</f>
        <v>0.35699999999999998</v>
      </c>
      <c r="G2" s="2" t="str">
        <f>IF(F2&gt;35%,"Tinggi",IF(F2&gt;=20%,"Sedang","Rendah"))</f>
        <v>Tinggi</v>
      </c>
      <c r="H2" s="17">
        <f>MIN(100%,ROUND($E2*1.05,3))</f>
        <v>0.24199999999999999</v>
      </c>
      <c r="I2" s="17">
        <f>MIN(100%,ROUND($E2*1.1,3))</f>
        <v>0.253</v>
      </c>
      <c r="J2" s="17">
        <f>MIN(100%,ROUND($E2*1.05,3))</f>
        <v>0.24199999999999999</v>
      </c>
      <c r="K2" s="17">
        <f>MIN(100%,ROUND($E2*0.95,3))</f>
        <v>0.219</v>
      </c>
      <c r="L2" s="17">
        <f>MIN(100%,ROUND($E2*0.85,3))</f>
        <v>0.19600000000000001</v>
      </c>
      <c r="M2" s="17">
        <f>MIN(100%,ROUND($E2*0.8,3))</f>
        <v>0.184</v>
      </c>
      <c r="N2" s="17">
        <f>MIN(100%,ROUND($E2*0.8,3))</f>
        <v>0.184</v>
      </c>
      <c r="O2" s="17">
        <f>MIN(100%,ROUND($E2*0.85,3))</f>
        <v>0.19600000000000001</v>
      </c>
      <c r="P2" s="17">
        <f>MIN(100%,ROUND($E2*0.95,3))</f>
        <v>0.219</v>
      </c>
      <c r="Q2" s="17">
        <f>MIN(100%,ROUND($E2*1.05,3))</f>
        <v>0.24199999999999999</v>
      </c>
      <c r="R2" s="17">
        <f>MIN(100%,ROUND($E2*1.1,3))</f>
        <v>0.253</v>
      </c>
      <c r="S2" s="17">
        <f>MIN(100%,ROUND($E2*1.1,3))</f>
        <v>0.253</v>
      </c>
    </row>
    <row r="3" spans="1:19" ht="28.5" thickBot="1">
      <c r="A3" s="6" t="s">
        <v>99</v>
      </c>
      <c r="B3" s="6" t="s">
        <v>100</v>
      </c>
      <c r="C3" s="7" t="s">
        <v>215</v>
      </c>
      <c r="D3" s="10">
        <v>2340</v>
      </c>
      <c r="E3" s="18">
        <v>0.19</v>
      </c>
      <c r="F3" s="18">
        <f>MIN(100%,ROUND(E3*1.55,3))</f>
        <v>0.29499999999999998</v>
      </c>
      <c r="G3" s="6" t="str">
        <f>IF(F3&gt;35%,"Tinggi",IF(F3&gt;=20%,"Sedang","Rendah"))</f>
        <v>Sedang</v>
      </c>
      <c r="H3" s="18">
        <f>MIN(100%,ROUND($E3*1.05,3))</f>
        <v>0.2</v>
      </c>
      <c r="I3" s="18">
        <f>MIN(100%,ROUND($E3*1.1,3))</f>
        <v>0.20899999999999999</v>
      </c>
      <c r="J3" s="18">
        <f>MIN(100%,ROUND($E3*1.05,3))</f>
        <v>0.2</v>
      </c>
      <c r="K3" s="18">
        <f>MIN(100%,ROUND($E3*0.95,3))</f>
        <v>0.18099999999999999</v>
      </c>
      <c r="L3" s="18">
        <f>MIN(100%,ROUND($E3*0.85,3))</f>
        <v>0.16200000000000001</v>
      </c>
      <c r="M3" s="18">
        <f>MIN(100%,ROUND($E3*0.8,3))</f>
        <v>0.152</v>
      </c>
      <c r="N3" s="18">
        <f>MIN(100%,ROUND($E3*0.8,3))</f>
        <v>0.152</v>
      </c>
      <c r="O3" s="18">
        <f>MIN(100%,ROUND($E3*0.85,3))</f>
        <v>0.16200000000000001</v>
      </c>
      <c r="P3" s="18">
        <f>MIN(100%,ROUND($E3*0.95,3))</f>
        <v>0.18099999999999999</v>
      </c>
      <c r="Q3" s="18">
        <f>MIN(100%,ROUND($E3*1.05,3))</f>
        <v>0.2</v>
      </c>
      <c r="R3" s="18">
        <f>MIN(100%,ROUND($E3*1.1,3))</f>
        <v>0.20899999999999999</v>
      </c>
      <c r="S3" s="18">
        <f>MIN(100%,ROUND($E3*1.1,3))</f>
        <v>0.20899999999999999</v>
      </c>
    </row>
    <row r="4" spans="1:19" ht="28.5" thickBot="1">
      <c r="A4" s="6" t="s">
        <v>99</v>
      </c>
      <c r="B4" s="6" t="s">
        <v>99</v>
      </c>
      <c r="C4" s="7" t="s">
        <v>216</v>
      </c>
      <c r="D4" s="10">
        <v>1900</v>
      </c>
      <c r="E4" s="18">
        <v>0.18</v>
      </c>
      <c r="F4" s="18">
        <f>MIN(100%,ROUND(E4*1.55,3))</f>
        <v>0.27900000000000003</v>
      </c>
      <c r="G4" s="6" t="str">
        <f>IF(F4&gt;35%,"Tinggi",IF(F4&gt;=20%,"Sedang","Rendah"))</f>
        <v>Sedang</v>
      </c>
      <c r="H4" s="18">
        <f>MIN(100%,ROUND($E4*1.05,3))</f>
        <v>0.189</v>
      </c>
      <c r="I4" s="18">
        <f>MIN(100%,ROUND($E4*1.1,3))</f>
        <v>0.19800000000000001</v>
      </c>
      <c r="J4" s="18">
        <f>MIN(100%,ROUND($E4*1.05,3))</f>
        <v>0.189</v>
      </c>
      <c r="K4" s="18">
        <f>MIN(100%,ROUND($E4*0.95,3))</f>
        <v>0.17100000000000001</v>
      </c>
      <c r="L4" s="18">
        <f>MIN(100%,ROUND($E4*0.85,3))</f>
        <v>0.153</v>
      </c>
      <c r="M4" s="18">
        <f>MIN(100%,ROUND($E4*0.8,3))</f>
        <v>0.14399999999999999</v>
      </c>
      <c r="N4" s="18">
        <f>MIN(100%,ROUND($E4*0.8,3))</f>
        <v>0.14399999999999999</v>
      </c>
      <c r="O4" s="18">
        <f>MIN(100%,ROUND($E4*0.85,3))</f>
        <v>0.153</v>
      </c>
      <c r="P4" s="18">
        <f>MIN(100%,ROUND($E4*0.95,3))</f>
        <v>0.17100000000000001</v>
      </c>
      <c r="Q4" s="18">
        <f>MIN(100%,ROUND($E4*1.05,3))</f>
        <v>0.189</v>
      </c>
      <c r="R4" s="18">
        <f>MIN(100%,ROUND($E4*1.1,3))</f>
        <v>0.19800000000000001</v>
      </c>
      <c r="S4" s="18">
        <f>MIN(100%,ROUND($E4*1.1,3))</f>
        <v>0.19800000000000001</v>
      </c>
    </row>
    <row r="5" spans="1:19" ht="28.5" thickBot="1">
      <c r="A5" s="6" t="s">
        <v>99</v>
      </c>
      <c r="B5" s="6" t="s">
        <v>103</v>
      </c>
      <c r="C5" s="7" t="s">
        <v>217</v>
      </c>
      <c r="D5" s="10">
        <v>3582</v>
      </c>
      <c r="E5" s="18">
        <v>0.2</v>
      </c>
      <c r="F5" s="18">
        <f>MIN(100%,ROUND(E5*1.55,3))</f>
        <v>0.31</v>
      </c>
      <c r="G5" s="6" t="str">
        <f>IF(F5&gt;35%,"Tinggi",IF(F5&gt;=20%,"Sedang","Rendah"))</f>
        <v>Sedang</v>
      </c>
      <c r="H5" s="18">
        <f>MIN(100%,ROUND($E5*1.05,3))</f>
        <v>0.21</v>
      </c>
      <c r="I5" s="18">
        <f>MIN(100%,ROUND($E5*1.1,3))</f>
        <v>0.22</v>
      </c>
      <c r="J5" s="18">
        <f>MIN(100%,ROUND($E5*1.05,3))</f>
        <v>0.21</v>
      </c>
      <c r="K5" s="18">
        <f>MIN(100%,ROUND($E5*0.95,3))</f>
        <v>0.19</v>
      </c>
      <c r="L5" s="18">
        <f>MIN(100%,ROUND($E5*0.85,3))</f>
        <v>0.17</v>
      </c>
      <c r="M5" s="18">
        <f>MIN(100%,ROUND($E5*0.8,3))</f>
        <v>0.16</v>
      </c>
      <c r="N5" s="18">
        <f>MIN(100%,ROUND($E5*0.8,3))</f>
        <v>0.16</v>
      </c>
      <c r="O5" s="18">
        <f>MIN(100%,ROUND($E5*0.85,3))</f>
        <v>0.17</v>
      </c>
      <c r="P5" s="18">
        <f>MIN(100%,ROUND($E5*0.95,3))</f>
        <v>0.19</v>
      </c>
      <c r="Q5" s="18">
        <f>MIN(100%,ROUND($E5*1.05,3))</f>
        <v>0.21</v>
      </c>
      <c r="R5" s="18">
        <f>MIN(100%,ROUND($E5*1.1,3))</f>
        <v>0.22</v>
      </c>
      <c r="S5" s="18">
        <f>MIN(100%,ROUND($E5*1.1,3))</f>
        <v>0.22</v>
      </c>
    </row>
    <row r="6" spans="1:19" ht="28.5" thickBot="1">
      <c r="A6" s="6" t="s">
        <v>122</v>
      </c>
      <c r="B6" s="6" t="s">
        <v>128</v>
      </c>
      <c r="C6" s="7" t="s">
        <v>218</v>
      </c>
      <c r="D6" s="10">
        <v>1119</v>
      </c>
      <c r="E6" s="18">
        <v>0.21</v>
      </c>
      <c r="F6" s="18">
        <f>MIN(100%,ROUND(E6*1.55,3))</f>
        <v>0.32600000000000001</v>
      </c>
      <c r="G6" s="6" t="str">
        <f>IF(F6&gt;35%,"Tinggi",IF(F6&gt;=20%,"Sedang","Rendah"))</f>
        <v>Sedang</v>
      </c>
      <c r="H6" s="18">
        <f>MIN(100%,ROUND($E6*1.05,3))</f>
        <v>0.221</v>
      </c>
      <c r="I6" s="18">
        <f>MIN(100%,ROUND($E6*1.1,3))</f>
        <v>0.23100000000000001</v>
      </c>
      <c r="J6" s="18">
        <f>MIN(100%,ROUND($E6*1.05,3))</f>
        <v>0.221</v>
      </c>
      <c r="K6" s="18">
        <f>MIN(100%,ROUND($E6*0.95,3))</f>
        <v>0.2</v>
      </c>
      <c r="L6" s="18">
        <f>MIN(100%,ROUND($E6*0.85,3))</f>
        <v>0.17899999999999999</v>
      </c>
      <c r="M6" s="18">
        <f>MIN(100%,ROUND($E6*0.8,3))</f>
        <v>0.16800000000000001</v>
      </c>
      <c r="N6" s="18">
        <f>MIN(100%,ROUND($E6*0.8,3))</f>
        <v>0.16800000000000001</v>
      </c>
      <c r="O6" s="18">
        <f>MIN(100%,ROUND($E6*0.85,3))</f>
        <v>0.17899999999999999</v>
      </c>
      <c r="P6" s="18">
        <f>MIN(100%,ROUND($E6*0.95,3))</f>
        <v>0.2</v>
      </c>
      <c r="Q6" s="18">
        <f>MIN(100%,ROUND($E6*1.05,3))</f>
        <v>0.221</v>
      </c>
      <c r="R6" s="18">
        <f>MIN(100%,ROUND($E6*1.1,3))</f>
        <v>0.23100000000000001</v>
      </c>
      <c r="S6" s="18">
        <f>MIN(100%,ROUND($E6*1.1,3))</f>
        <v>0.23100000000000001</v>
      </c>
    </row>
    <row r="7" spans="1:19" ht="28.5" thickBot="1">
      <c r="A7" s="6" t="s">
        <v>122</v>
      </c>
      <c r="B7" s="6" t="s">
        <v>124</v>
      </c>
      <c r="C7" s="7" t="s">
        <v>219</v>
      </c>
      <c r="D7" s="10">
        <v>692</v>
      </c>
      <c r="E7" s="18">
        <v>0.22</v>
      </c>
      <c r="F7" s="18">
        <f>MIN(100%,ROUND(E7*1.55,3))</f>
        <v>0.34100000000000003</v>
      </c>
      <c r="G7" s="6" t="str">
        <f>IF(F7&gt;35%,"Tinggi",IF(F7&gt;=20%,"Sedang","Rendah"))</f>
        <v>Sedang</v>
      </c>
      <c r="H7" s="18">
        <f>MIN(100%,ROUND($E7*1.05,3))</f>
        <v>0.23100000000000001</v>
      </c>
      <c r="I7" s="18">
        <f>MIN(100%,ROUND($E7*1.1,3))</f>
        <v>0.24199999999999999</v>
      </c>
      <c r="J7" s="18">
        <f>MIN(100%,ROUND($E7*1.05,3))</f>
        <v>0.23100000000000001</v>
      </c>
      <c r="K7" s="18">
        <f>MIN(100%,ROUND($E7*0.95,3))</f>
        <v>0.20899999999999999</v>
      </c>
      <c r="L7" s="18">
        <f>MIN(100%,ROUND($E7*0.85,3))</f>
        <v>0.187</v>
      </c>
      <c r="M7" s="18">
        <f>MIN(100%,ROUND($E7*0.8,3))</f>
        <v>0.17599999999999999</v>
      </c>
      <c r="N7" s="18">
        <f>MIN(100%,ROUND($E7*0.8,3))</f>
        <v>0.17599999999999999</v>
      </c>
      <c r="O7" s="18">
        <f>MIN(100%,ROUND($E7*0.85,3))</f>
        <v>0.187</v>
      </c>
      <c r="P7" s="18">
        <f>MIN(100%,ROUND($E7*0.95,3))</f>
        <v>0.20899999999999999</v>
      </c>
      <c r="Q7" s="18">
        <f>MIN(100%,ROUND($E7*1.05,3))</f>
        <v>0.23100000000000001</v>
      </c>
      <c r="R7" s="18">
        <f>MIN(100%,ROUND($E7*1.1,3))</f>
        <v>0.24199999999999999</v>
      </c>
      <c r="S7" s="18">
        <f>MIN(100%,ROUND($E7*1.1,3))</f>
        <v>0.24199999999999999</v>
      </c>
    </row>
    <row r="8" spans="1:19" ht="28.5" thickBot="1">
      <c r="A8" s="6" t="s">
        <v>59</v>
      </c>
      <c r="B8" s="6" t="s">
        <v>63</v>
      </c>
      <c r="C8" s="7" t="s">
        <v>220</v>
      </c>
      <c r="D8" s="10">
        <v>781</v>
      </c>
      <c r="E8" s="18">
        <v>0.22</v>
      </c>
      <c r="F8" s="18">
        <f>MIN(100%,ROUND(E8*1.55,3))</f>
        <v>0.34100000000000003</v>
      </c>
      <c r="G8" s="6" t="str">
        <f>IF(F8&gt;35%,"Tinggi",IF(F8&gt;=20%,"Sedang","Rendah"))</f>
        <v>Sedang</v>
      </c>
      <c r="H8" s="18">
        <f>MIN(100%,ROUND($E8*1.05,3))</f>
        <v>0.23100000000000001</v>
      </c>
      <c r="I8" s="18">
        <f>MIN(100%,ROUND($E8*1.1,3))</f>
        <v>0.24199999999999999</v>
      </c>
      <c r="J8" s="18">
        <f>MIN(100%,ROUND($E8*1.05,3))</f>
        <v>0.23100000000000001</v>
      </c>
      <c r="K8" s="18">
        <f>MIN(100%,ROUND($E8*0.95,3))</f>
        <v>0.20899999999999999</v>
      </c>
      <c r="L8" s="18">
        <f>MIN(100%,ROUND($E8*0.85,3))</f>
        <v>0.187</v>
      </c>
      <c r="M8" s="18">
        <f>MIN(100%,ROUND($E8*0.8,3))</f>
        <v>0.17599999999999999</v>
      </c>
      <c r="N8" s="18">
        <f>MIN(100%,ROUND($E8*0.8,3))</f>
        <v>0.17599999999999999</v>
      </c>
      <c r="O8" s="18">
        <f>MIN(100%,ROUND($E8*0.85,3))</f>
        <v>0.187</v>
      </c>
      <c r="P8" s="18">
        <f>MIN(100%,ROUND($E8*0.95,3))</f>
        <v>0.20899999999999999</v>
      </c>
      <c r="Q8" s="18">
        <f>MIN(100%,ROUND($E8*1.05,3))</f>
        <v>0.23100000000000001</v>
      </c>
      <c r="R8" s="18">
        <f>MIN(100%,ROUND($E8*1.1,3))</f>
        <v>0.24199999999999999</v>
      </c>
      <c r="S8" s="18">
        <f>MIN(100%,ROUND($E8*1.1,3))</f>
        <v>0.24199999999999999</v>
      </c>
    </row>
    <row r="9" spans="1:19" ht="28.5" thickBot="1">
      <c r="A9" s="6" t="s">
        <v>59</v>
      </c>
      <c r="B9" s="6" t="s">
        <v>59</v>
      </c>
      <c r="C9" s="7" t="s">
        <v>221</v>
      </c>
      <c r="D9" s="10">
        <v>1304</v>
      </c>
      <c r="E9" s="18">
        <v>0.19</v>
      </c>
      <c r="F9" s="18">
        <f>MIN(100%,ROUND(E9*1.55,3))</f>
        <v>0.29499999999999998</v>
      </c>
      <c r="G9" s="6" t="str">
        <f>IF(F9&gt;35%,"Tinggi",IF(F9&gt;=20%,"Sedang","Rendah"))</f>
        <v>Sedang</v>
      </c>
      <c r="H9" s="18">
        <f>MIN(100%,ROUND($E9*1.05,3))</f>
        <v>0.2</v>
      </c>
      <c r="I9" s="18">
        <f>MIN(100%,ROUND($E9*1.1,3))</f>
        <v>0.20899999999999999</v>
      </c>
      <c r="J9" s="18">
        <f>MIN(100%,ROUND($E9*1.05,3))</f>
        <v>0.2</v>
      </c>
      <c r="K9" s="18">
        <f>MIN(100%,ROUND($E9*0.95,3))</f>
        <v>0.18099999999999999</v>
      </c>
      <c r="L9" s="18">
        <f>MIN(100%,ROUND($E9*0.85,3))</f>
        <v>0.16200000000000001</v>
      </c>
      <c r="M9" s="18">
        <f>MIN(100%,ROUND($E9*0.8,3))</f>
        <v>0.152</v>
      </c>
      <c r="N9" s="18">
        <f>MIN(100%,ROUND($E9*0.8,3))</f>
        <v>0.152</v>
      </c>
      <c r="O9" s="18">
        <f>MIN(100%,ROUND($E9*0.85,3))</f>
        <v>0.16200000000000001</v>
      </c>
      <c r="P9" s="18">
        <f>MIN(100%,ROUND($E9*0.95,3))</f>
        <v>0.18099999999999999</v>
      </c>
      <c r="Q9" s="18">
        <f>MIN(100%,ROUND($E9*1.05,3))</f>
        <v>0.2</v>
      </c>
      <c r="R9" s="18">
        <f>MIN(100%,ROUND($E9*1.1,3))</f>
        <v>0.20899999999999999</v>
      </c>
      <c r="S9" s="18">
        <f>MIN(100%,ROUND($E9*1.1,3))</f>
        <v>0.20899999999999999</v>
      </c>
    </row>
    <row r="10" spans="1:19" ht="28">
      <c r="A10" s="6" t="s">
        <v>99</v>
      </c>
      <c r="B10" s="6" t="s">
        <v>105</v>
      </c>
      <c r="C10" s="7" t="s">
        <v>222</v>
      </c>
      <c r="D10" s="10">
        <v>2848</v>
      </c>
      <c r="E10" s="18">
        <v>0.2</v>
      </c>
      <c r="F10" s="18">
        <f>MIN(100%,ROUND(E10*1.55,3))</f>
        <v>0.31</v>
      </c>
      <c r="G10" s="6" t="str">
        <f>IF(F10&gt;35%,"Tinggi",IF(F10&gt;=20%,"Sedang","Rendah"))</f>
        <v>Sedang</v>
      </c>
      <c r="H10" s="18">
        <f>MIN(100%,ROUND($E10*1.05,3))</f>
        <v>0.21</v>
      </c>
      <c r="I10" s="18">
        <f>MIN(100%,ROUND($E10*1.1,3))</f>
        <v>0.22</v>
      </c>
      <c r="J10" s="18">
        <f>MIN(100%,ROUND($E10*1.05,3))</f>
        <v>0.21</v>
      </c>
      <c r="K10" s="18">
        <f>MIN(100%,ROUND($E10*0.95,3))</f>
        <v>0.19</v>
      </c>
      <c r="L10" s="18">
        <f>MIN(100%,ROUND($E10*0.85,3))</f>
        <v>0.17</v>
      </c>
      <c r="M10" s="18">
        <f>MIN(100%,ROUND($E10*0.8,3))</f>
        <v>0.16</v>
      </c>
      <c r="N10" s="18">
        <f>MIN(100%,ROUND($E10*0.8,3))</f>
        <v>0.16</v>
      </c>
      <c r="O10" s="18">
        <f>MIN(100%,ROUND($E10*0.85,3))</f>
        <v>0.17</v>
      </c>
      <c r="P10" s="18">
        <f>MIN(100%,ROUND($E10*0.95,3))</f>
        <v>0.19</v>
      </c>
      <c r="Q10" s="18">
        <f>MIN(100%,ROUND($E10*1.05,3))</f>
        <v>0.21</v>
      </c>
      <c r="R10" s="18">
        <f>MIN(100%,ROUND($E10*1.1,3))</f>
        <v>0.22</v>
      </c>
      <c r="S10" s="18">
        <f>MIN(100%,ROUND($E10*1.1,3))</f>
        <v>0.22</v>
      </c>
    </row>
  </sheetData>
  <conditionalFormatting sqref="G2:G10">
    <cfRule type="expression" dxfId="8" priority="1">
      <formula>$G2="Tinggi"</formula>
    </cfRule>
  </conditionalFormatting>
  <conditionalFormatting sqref="G2:G10">
    <cfRule type="expression" dxfId="7" priority="2">
      <formula>$G2="Sedang"</formula>
    </cfRule>
  </conditionalFormatting>
  <conditionalFormatting sqref="G2:G10">
    <cfRule type="expression" dxfId="6" priority="3">
      <formula>$G2="Rendah"</formula>
    </cfRule>
  </conditionalFormatting>
  <conditionalFormatting sqref="E2:S10">
    <cfRule type="colorScale" priority="4">
      <colorScale>
        <cfvo type="min"/>
        <cfvo type="percentile" val="50"/>
        <cfvo type="max"/>
        <color rgb="FFFFFFFF"/>
        <color rgb="FFFFD966"/>
        <color rgb="FF63BE7B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810B8-34F9-4F8F-8D6D-1EFA98451FC0}">
  <dimension ref="A1:Q10"/>
  <sheetViews>
    <sheetView tabSelected="1" topLeftCell="C1" workbookViewId="0">
      <selection activeCell="H7" sqref="H7"/>
    </sheetView>
  </sheetViews>
  <sheetFormatPr defaultRowHeight="14.5"/>
  <cols>
    <col min="1" max="1" width="9.36328125" bestFit="1" customWidth="1"/>
    <col min="2" max="2" width="11.54296875" bestFit="1" customWidth="1"/>
    <col min="3" max="3" width="36.36328125" customWidth="1"/>
    <col min="4" max="4" width="5.7265625" bestFit="1" customWidth="1"/>
    <col min="5" max="5" width="8.6328125" bestFit="1" customWidth="1"/>
    <col min="7" max="7" width="6.7265625" bestFit="1" customWidth="1"/>
    <col min="8" max="8" width="12" bestFit="1" customWidth="1"/>
    <col min="9" max="9" width="8.1796875" bestFit="1" customWidth="1"/>
    <col min="10" max="10" width="12" bestFit="1" customWidth="1"/>
    <col min="11" max="11" width="8.1796875" bestFit="1" customWidth="1"/>
    <col min="12" max="12" width="13.7265625" bestFit="1" customWidth="1"/>
    <col min="13" max="13" width="8.1796875" bestFit="1" customWidth="1"/>
    <col min="14" max="14" width="12.36328125" bestFit="1" customWidth="1"/>
    <col min="15" max="15" width="8.1796875" bestFit="1" customWidth="1"/>
    <col min="16" max="16" width="13.453125" bestFit="1" customWidth="1"/>
    <col min="17" max="17" width="8.1796875" bestFit="1" customWidth="1"/>
  </cols>
  <sheetData>
    <row r="1" spans="1:17" ht="87">
      <c r="A1" s="11" t="s">
        <v>24</v>
      </c>
      <c r="B1" s="11" t="s">
        <v>25</v>
      </c>
      <c r="C1" s="11" t="s">
        <v>210</v>
      </c>
      <c r="D1" s="11" t="s">
        <v>211</v>
      </c>
      <c r="E1" s="11" t="s">
        <v>229</v>
      </c>
      <c r="F1" s="11" t="s">
        <v>230</v>
      </c>
      <c r="G1" s="11" t="s">
        <v>30</v>
      </c>
      <c r="H1" s="11" t="str">
        <f>"Produk 1 ("&amp;TEXT(MIN(I2:I10),"0%")&amp;"–"&amp;TEXT(MAX(I2:I10),"0%")&amp;")"</f>
        <v>Produk 1 (28%–30%)</v>
      </c>
      <c r="I1" s="11" t="s">
        <v>107</v>
      </c>
      <c r="J1" s="11" t="str">
        <f>"Produk 2 ("&amp;TEXT(MIN(K2:K10),"0%")&amp;"–"&amp;TEXT(MAX(K2:K10),"0%")&amp;")"</f>
        <v>Produk 2 (24%–24%)</v>
      </c>
      <c r="K1" s="11" t="s">
        <v>108</v>
      </c>
      <c r="L1" s="11" t="str">
        <f>"Produk 3 ("&amp;TEXT(MIN(M2:M10),"0%")&amp;"–"&amp;TEXT(MAX(M2:M10),"0%")&amp;")"</f>
        <v>Produk 3 (19%–20%)</v>
      </c>
      <c r="M1" s="11" t="s">
        <v>109</v>
      </c>
      <c r="N1" s="11" t="str">
        <f>"Produk 4 ("&amp;TEXT(MIN(O2:O10),"0%")&amp;"–"&amp;TEXT(MAX(O2:O10),"0%")&amp;")"</f>
        <v>Produk 4 (15%–16%)</v>
      </c>
      <c r="O1" s="11" t="s">
        <v>110</v>
      </c>
      <c r="P1" s="11" t="str">
        <f>"Produk 5 ("&amp;TEXT(MIN(Q2:Q10),"0%")&amp;"–"&amp;TEXT(MAX(Q2:Q10),"0%")&amp;")"</f>
        <v>Produk 5 (12%–12%)</v>
      </c>
      <c r="Q1" s="11" t="s">
        <v>111</v>
      </c>
    </row>
    <row r="2" spans="1:17" ht="29">
      <c r="A2" t="s">
        <v>43</v>
      </c>
      <c r="B2" t="s">
        <v>43</v>
      </c>
      <c r="C2" s="13" t="s">
        <v>214</v>
      </c>
      <c r="D2" s="19">
        <v>2723</v>
      </c>
      <c r="E2" s="12">
        <v>0.23</v>
      </c>
      <c r="F2" s="12">
        <v>0.35699999999999998</v>
      </c>
      <c r="G2" t="s">
        <v>65</v>
      </c>
      <c r="H2" t="s">
        <v>182</v>
      </c>
      <c r="I2" s="3">
        <v>0.3</v>
      </c>
      <c r="J2" t="s">
        <v>181</v>
      </c>
      <c r="K2" s="3">
        <v>0.24</v>
      </c>
      <c r="L2" t="s">
        <v>184</v>
      </c>
      <c r="M2" s="3">
        <v>0.19</v>
      </c>
      <c r="N2" t="s">
        <v>242</v>
      </c>
      <c r="O2" s="3">
        <v>0.15</v>
      </c>
      <c r="P2" t="s">
        <v>183</v>
      </c>
      <c r="Q2" s="3">
        <v>0.12</v>
      </c>
    </row>
    <row r="3" spans="1:17" ht="29">
      <c r="A3" t="s">
        <v>99</v>
      </c>
      <c r="B3" t="s">
        <v>100</v>
      </c>
      <c r="C3" s="13" t="s">
        <v>215</v>
      </c>
      <c r="D3" s="19">
        <v>2340</v>
      </c>
      <c r="E3" s="12">
        <v>0.19</v>
      </c>
      <c r="F3" s="12">
        <v>0.29499999999999998</v>
      </c>
      <c r="G3" t="s">
        <v>45</v>
      </c>
      <c r="H3" t="s">
        <v>181</v>
      </c>
      <c r="I3" s="3">
        <v>0.28000000000000003</v>
      </c>
      <c r="J3" t="s">
        <v>182</v>
      </c>
      <c r="K3" s="3">
        <v>0.24</v>
      </c>
      <c r="L3" t="s">
        <v>184</v>
      </c>
      <c r="M3" s="3">
        <v>0.2</v>
      </c>
      <c r="N3" t="s">
        <v>242</v>
      </c>
      <c r="O3" s="3">
        <v>0.16</v>
      </c>
      <c r="P3" t="s">
        <v>183</v>
      </c>
      <c r="Q3" s="3">
        <v>0.12</v>
      </c>
    </row>
    <row r="4" spans="1:17">
      <c r="A4" t="s">
        <v>99</v>
      </c>
      <c r="B4" t="s">
        <v>99</v>
      </c>
      <c r="C4" s="13" t="s">
        <v>216</v>
      </c>
      <c r="D4" s="19">
        <v>1900</v>
      </c>
      <c r="E4" s="12">
        <v>0.18</v>
      </c>
      <c r="F4" s="12">
        <v>0.27900000000000003</v>
      </c>
      <c r="G4" t="s">
        <v>45</v>
      </c>
      <c r="H4" t="s">
        <v>181</v>
      </c>
      <c r="I4" s="3">
        <v>0.28000000000000003</v>
      </c>
      <c r="J4" t="s">
        <v>182</v>
      </c>
      <c r="K4" s="3">
        <v>0.24</v>
      </c>
      <c r="L4" t="s">
        <v>184</v>
      </c>
      <c r="M4" s="3">
        <v>0.2</v>
      </c>
      <c r="N4" t="s">
        <v>242</v>
      </c>
      <c r="O4" s="3">
        <v>0.16</v>
      </c>
      <c r="P4" t="s">
        <v>183</v>
      </c>
      <c r="Q4" s="3">
        <v>0.12</v>
      </c>
    </row>
    <row r="5" spans="1:17">
      <c r="A5" t="s">
        <v>99</v>
      </c>
      <c r="B5" t="s">
        <v>103</v>
      </c>
      <c r="C5" s="13" t="s">
        <v>217</v>
      </c>
      <c r="D5" s="19">
        <v>3582</v>
      </c>
      <c r="E5" s="12">
        <v>0.2</v>
      </c>
      <c r="F5" s="12">
        <v>0.31</v>
      </c>
      <c r="G5" t="s">
        <v>45</v>
      </c>
      <c r="H5" t="s">
        <v>181</v>
      </c>
      <c r="I5" s="3">
        <v>0.28000000000000003</v>
      </c>
      <c r="J5" t="s">
        <v>182</v>
      </c>
      <c r="K5" s="3">
        <v>0.24</v>
      </c>
      <c r="L5" t="s">
        <v>184</v>
      </c>
      <c r="M5" s="3">
        <v>0.2</v>
      </c>
      <c r="N5" t="s">
        <v>242</v>
      </c>
      <c r="O5" s="3">
        <v>0.16</v>
      </c>
      <c r="P5" t="s">
        <v>183</v>
      </c>
      <c r="Q5" s="3">
        <v>0.12</v>
      </c>
    </row>
    <row r="6" spans="1:17">
      <c r="A6" t="s">
        <v>122</v>
      </c>
      <c r="B6" t="s">
        <v>128</v>
      </c>
      <c r="C6" s="13" t="s">
        <v>218</v>
      </c>
      <c r="D6" s="19">
        <v>1119</v>
      </c>
      <c r="E6" s="12">
        <v>0.21</v>
      </c>
      <c r="F6" s="12">
        <v>0.32600000000000001</v>
      </c>
      <c r="G6" t="s">
        <v>45</v>
      </c>
      <c r="H6" t="s">
        <v>181</v>
      </c>
      <c r="I6" s="3">
        <v>0.28000000000000003</v>
      </c>
      <c r="J6" t="s">
        <v>182</v>
      </c>
      <c r="K6" s="3">
        <v>0.24</v>
      </c>
      <c r="L6" t="s">
        <v>184</v>
      </c>
      <c r="M6" s="3">
        <v>0.2</v>
      </c>
      <c r="N6" t="s">
        <v>242</v>
      </c>
      <c r="O6" s="3">
        <v>0.16</v>
      </c>
      <c r="P6" t="s">
        <v>183</v>
      </c>
      <c r="Q6" s="3">
        <v>0.12</v>
      </c>
    </row>
    <row r="7" spans="1:17">
      <c r="A7" t="s">
        <v>122</v>
      </c>
      <c r="B7" t="s">
        <v>124</v>
      </c>
      <c r="C7" s="13" t="s">
        <v>219</v>
      </c>
      <c r="D7" s="19">
        <v>692</v>
      </c>
      <c r="E7" s="12">
        <v>0.22</v>
      </c>
      <c r="F7" s="12">
        <v>0.34100000000000003</v>
      </c>
      <c r="G7" t="s">
        <v>45</v>
      </c>
      <c r="H7" t="s">
        <v>181</v>
      </c>
      <c r="I7" s="3">
        <v>0.28000000000000003</v>
      </c>
      <c r="J7" t="s">
        <v>182</v>
      </c>
      <c r="K7" s="3">
        <v>0.24</v>
      </c>
      <c r="L7" t="s">
        <v>184</v>
      </c>
      <c r="M7" s="3">
        <v>0.2</v>
      </c>
      <c r="N7" t="s">
        <v>242</v>
      </c>
      <c r="O7" s="3">
        <v>0.16</v>
      </c>
      <c r="P7" t="s">
        <v>183</v>
      </c>
      <c r="Q7" s="3">
        <v>0.12</v>
      </c>
    </row>
    <row r="8" spans="1:17">
      <c r="A8" t="s">
        <v>59</v>
      </c>
      <c r="B8" t="s">
        <v>63</v>
      </c>
      <c r="C8" s="13" t="s">
        <v>220</v>
      </c>
      <c r="D8" s="19">
        <v>781</v>
      </c>
      <c r="E8" s="12">
        <v>0.22</v>
      </c>
      <c r="F8" s="12">
        <v>0.34100000000000003</v>
      </c>
      <c r="G8" t="s">
        <v>45</v>
      </c>
      <c r="H8" t="s">
        <v>181</v>
      </c>
      <c r="I8" s="3">
        <v>0.28000000000000003</v>
      </c>
      <c r="J8" t="s">
        <v>182</v>
      </c>
      <c r="K8" s="3">
        <v>0.24</v>
      </c>
      <c r="L8" t="s">
        <v>184</v>
      </c>
      <c r="M8" s="3">
        <v>0.2</v>
      </c>
      <c r="N8" t="s">
        <v>242</v>
      </c>
      <c r="O8" s="3">
        <v>0.16</v>
      </c>
      <c r="P8" t="s">
        <v>183</v>
      </c>
      <c r="Q8" s="3">
        <v>0.12</v>
      </c>
    </row>
    <row r="9" spans="1:17">
      <c r="A9" t="s">
        <v>59</v>
      </c>
      <c r="B9" t="s">
        <v>59</v>
      </c>
      <c r="C9" s="13" t="s">
        <v>221</v>
      </c>
      <c r="D9" s="19">
        <v>1304</v>
      </c>
      <c r="E9" s="12">
        <v>0.19</v>
      </c>
      <c r="F9" s="12">
        <v>0.29499999999999998</v>
      </c>
      <c r="G9" t="s">
        <v>45</v>
      </c>
      <c r="H9" t="s">
        <v>181</v>
      </c>
      <c r="I9" s="3">
        <v>0.28000000000000003</v>
      </c>
      <c r="J9" t="s">
        <v>182</v>
      </c>
      <c r="K9" s="3">
        <v>0.24</v>
      </c>
      <c r="L9" t="s">
        <v>184</v>
      </c>
      <c r="M9" s="3">
        <v>0.2</v>
      </c>
      <c r="N9" t="s">
        <v>242</v>
      </c>
      <c r="O9" s="3">
        <v>0.16</v>
      </c>
      <c r="P9" t="s">
        <v>183</v>
      </c>
      <c r="Q9" s="3">
        <v>0.12</v>
      </c>
    </row>
    <row r="10" spans="1:17">
      <c r="A10" t="s">
        <v>99</v>
      </c>
      <c r="B10" t="s">
        <v>105</v>
      </c>
      <c r="C10" s="13" t="s">
        <v>222</v>
      </c>
      <c r="D10" s="19">
        <v>2848</v>
      </c>
      <c r="E10" s="12">
        <v>0.2</v>
      </c>
      <c r="F10" s="12">
        <v>0.31</v>
      </c>
      <c r="G10" t="s">
        <v>45</v>
      </c>
      <c r="H10" t="s">
        <v>181</v>
      </c>
      <c r="I10" s="3">
        <v>0.28000000000000003</v>
      </c>
      <c r="J10" t="s">
        <v>182</v>
      </c>
      <c r="K10" s="3">
        <v>0.24</v>
      </c>
      <c r="L10" t="s">
        <v>184</v>
      </c>
      <c r="M10" s="3">
        <v>0.2</v>
      </c>
      <c r="N10" t="s">
        <v>242</v>
      </c>
      <c r="O10" s="3">
        <v>0.16</v>
      </c>
      <c r="P10" t="s">
        <v>183</v>
      </c>
      <c r="Q10" s="3">
        <v>0.12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B993D-6169-4B9C-A0C3-B815991765F9}">
  <dimension ref="A1:S10"/>
  <sheetViews>
    <sheetView workbookViewId="0">
      <selection activeCell="A5" sqref="A5"/>
    </sheetView>
  </sheetViews>
  <sheetFormatPr defaultRowHeight="14.5"/>
  <cols>
    <col min="1" max="1" width="18.81640625" customWidth="1"/>
    <col min="2" max="2" width="17.7265625" customWidth="1"/>
    <col min="3" max="3" width="49.26953125" customWidth="1"/>
    <col min="4" max="4" width="8.26953125" bestFit="1" customWidth="1"/>
    <col min="5" max="5" width="8.453125" bestFit="1" customWidth="1"/>
    <col min="6" max="6" width="8.54296875" bestFit="1" customWidth="1"/>
    <col min="8" max="19" width="7.54296875" bestFit="1" customWidth="1"/>
  </cols>
  <sheetData>
    <row r="1" spans="1:19" ht="126">
      <c r="A1" s="20" t="s">
        <v>24</v>
      </c>
      <c r="B1" s="20" t="s">
        <v>25</v>
      </c>
      <c r="C1" s="20" t="s">
        <v>210</v>
      </c>
      <c r="D1" s="20" t="s">
        <v>211</v>
      </c>
      <c r="E1" s="20" t="s">
        <v>231</v>
      </c>
      <c r="F1" s="20" t="s">
        <v>232</v>
      </c>
      <c r="G1" s="20" t="s">
        <v>30</v>
      </c>
      <c r="H1" s="20" t="s">
        <v>31</v>
      </c>
      <c r="I1" s="20" t="s">
        <v>175</v>
      </c>
      <c r="J1" s="20" t="s">
        <v>33</v>
      </c>
      <c r="K1" s="20" t="s">
        <v>34</v>
      </c>
      <c r="L1" s="20" t="s">
        <v>35</v>
      </c>
      <c r="M1" s="20" t="s">
        <v>176</v>
      </c>
      <c r="N1" s="20" t="s">
        <v>37</v>
      </c>
      <c r="O1" s="20" t="s">
        <v>177</v>
      </c>
      <c r="P1" s="20" t="s">
        <v>39</v>
      </c>
      <c r="Q1" s="20" t="s">
        <v>40</v>
      </c>
      <c r="R1" s="20" t="s">
        <v>41</v>
      </c>
      <c r="S1" s="20" t="s">
        <v>42</v>
      </c>
    </row>
    <row r="2" spans="1:19" ht="15" thickBot="1">
      <c r="A2" s="2" t="s">
        <v>43</v>
      </c>
      <c r="B2" s="2" t="s">
        <v>43</v>
      </c>
      <c r="C2" s="8" t="s">
        <v>214</v>
      </c>
      <c r="D2" s="9">
        <v>2723</v>
      </c>
      <c r="E2" s="17">
        <v>0.315</v>
      </c>
      <c r="F2" s="17">
        <f>MIN(100%,ROUND(E2*1.65,3))</f>
        <v>0.52</v>
      </c>
      <c r="G2" s="2" t="str">
        <f>IF(F2&gt;35%,"Tinggi",IF(F2&gt;=20%,"Sedang","Rendah"))</f>
        <v>Tinggi</v>
      </c>
      <c r="H2" s="17">
        <f>MIN(100%,ROUND($E2*1.25,3))</f>
        <v>0.39400000000000002</v>
      </c>
      <c r="I2" s="17">
        <f>MIN(100%,ROUND($E2*1.3,3))</f>
        <v>0.41</v>
      </c>
      <c r="J2" s="17">
        <f>MIN(100%,ROUND($E2*1.2,3))</f>
        <v>0.378</v>
      </c>
      <c r="K2" s="17">
        <f>MIN(100%,ROUND($E2*1,3))</f>
        <v>0.315</v>
      </c>
      <c r="L2" s="17">
        <f>MIN(100%,ROUND($E2*0.75,3))</f>
        <v>0.23599999999999999</v>
      </c>
      <c r="M2" s="17">
        <f>MIN(100%,ROUND($E2*0.55,3))</f>
        <v>0.17299999999999999</v>
      </c>
      <c r="N2" s="17">
        <f>MIN(100%,ROUND($E2*0.45,3))</f>
        <v>0.14199999999999999</v>
      </c>
      <c r="O2" s="17">
        <f>MIN(100%,ROUND($E2*0.45,3))</f>
        <v>0.14199999999999999</v>
      </c>
      <c r="P2" s="17">
        <f>MIN(100%,ROUND($E2*0.6,3))</f>
        <v>0.189</v>
      </c>
      <c r="Q2" s="17">
        <f>MIN(100%,ROUND($E2*0.85,3))</f>
        <v>0.26800000000000002</v>
      </c>
      <c r="R2" s="17">
        <f>MIN(100%,ROUND($E2*1.1,3))</f>
        <v>0.34699999999999998</v>
      </c>
      <c r="S2" s="17">
        <f>MIN(100%,ROUND($E2*1.25,3))</f>
        <v>0.39400000000000002</v>
      </c>
    </row>
    <row r="3" spans="1:19" ht="15" thickBot="1">
      <c r="A3" s="6" t="s">
        <v>99</v>
      </c>
      <c r="B3" s="6" t="s">
        <v>100</v>
      </c>
      <c r="C3" s="7" t="s">
        <v>215</v>
      </c>
      <c r="D3" s="10">
        <v>2340</v>
      </c>
      <c r="E3" s="18">
        <v>0.34499999999999997</v>
      </c>
      <c r="F3" s="18">
        <f>MIN(100%,ROUND(E3*1.65,3))</f>
        <v>0.56899999999999995</v>
      </c>
      <c r="G3" s="6" t="str">
        <f>IF(F3&gt;35%,"Tinggi",IF(F3&gt;=20%,"Sedang","Rendah"))</f>
        <v>Tinggi</v>
      </c>
      <c r="H3" s="18">
        <f>MIN(100%,ROUND($E3*1.25,3))</f>
        <v>0.43099999999999999</v>
      </c>
      <c r="I3" s="18">
        <f>MIN(100%,ROUND($E3*1.3,3))</f>
        <v>0.44900000000000001</v>
      </c>
      <c r="J3" s="18">
        <f>MIN(100%,ROUND($E3*1.2,3))</f>
        <v>0.41399999999999998</v>
      </c>
      <c r="K3" s="18">
        <f>MIN(100%,ROUND($E3*1,3))</f>
        <v>0.34499999999999997</v>
      </c>
      <c r="L3" s="18">
        <f>MIN(100%,ROUND($E3*0.75,3))</f>
        <v>0.25900000000000001</v>
      </c>
      <c r="M3" s="18">
        <f>MIN(100%,ROUND($E3*0.55,3))</f>
        <v>0.19</v>
      </c>
      <c r="N3" s="18">
        <f>MIN(100%,ROUND($E3*0.45,3))</f>
        <v>0.155</v>
      </c>
      <c r="O3" s="18">
        <f>MIN(100%,ROUND($E3*0.45,3))</f>
        <v>0.155</v>
      </c>
      <c r="P3" s="18">
        <f>MIN(100%,ROUND($E3*0.6,3))</f>
        <v>0.20699999999999999</v>
      </c>
      <c r="Q3" s="18">
        <f>MIN(100%,ROUND($E3*0.85,3))</f>
        <v>0.29299999999999998</v>
      </c>
      <c r="R3" s="18">
        <f>MIN(100%,ROUND($E3*1.1,3))</f>
        <v>0.38</v>
      </c>
      <c r="S3" s="18">
        <f>MIN(100%,ROUND($E3*1.25,3))</f>
        <v>0.43099999999999999</v>
      </c>
    </row>
    <row r="4" spans="1:19" ht="15" thickBot="1">
      <c r="A4" s="6" t="s">
        <v>99</v>
      </c>
      <c r="B4" s="6" t="s">
        <v>99</v>
      </c>
      <c r="C4" s="7" t="s">
        <v>216</v>
      </c>
      <c r="D4" s="10">
        <v>1900</v>
      </c>
      <c r="E4" s="18">
        <v>0.34499999999999997</v>
      </c>
      <c r="F4" s="18">
        <f>MIN(100%,ROUND(E4*1.65,3))</f>
        <v>0.56899999999999995</v>
      </c>
      <c r="G4" s="6" t="str">
        <f>IF(F4&gt;35%,"Tinggi",IF(F4&gt;=20%,"Sedang","Rendah"))</f>
        <v>Tinggi</v>
      </c>
      <c r="H4" s="18">
        <f>MIN(100%,ROUND($E4*1.25,3))</f>
        <v>0.43099999999999999</v>
      </c>
      <c r="I4" s="18">
        <f>MIN(100%,ROUND($E4*1.3,3))</f>
        <v>0.44900000000000001</v>
      </c>
      <c r="J4" s="18">
        <f>MIN(100%,ROUND($E4*1.2,3))</f>
        <v>0.41399999999999998</v>
      </c>
      <c r="K4" s="18">
        <f>MIN(100%,ROUND($E4*1,3))</f>
        <v>0.34499999999999997</v>
      </c>
      <c r="L4" s="18">
        <f>MIN(100%,ROUND($E4*0.75,3))</f>
        <v>0.25900000000000001</v>
      </c>
      <c r="M4" s="18">
        <f>MIN(100%,ROUND($E4*0.55,3))</f>
        <v>0.19</v>
      </c>
      <c r="N4" s="18">
        <f>MIN(100%,ROUND($E4*0.45,3))</f>
        <v>0.155</v>
      </c>
      <c r="O4" s="18">
        <f>MIN(100%,ROUND($E4*0.45,3))</f>
        <v>0.155</v>
      </c>
      <c r="P4" s="18">
        <f>MIN(100%,ROUND($E4*0.6,3))</f>
        <v>0.20699999999999999</v>
      </c>
      <c r="Q4" s="18">
        <f>MIN(100%,ROUND($E4*0.85,3))</f>
        <v>0.29299999999999998</v>
      </c>
      <c r="R4" s="18">
        <f>MIN(100%,ROUND($E4*1.1,3))</f>
        <v>0.38</v>
      </c>
      <c r="S4" s="18">
        <f>MIN(100%,ROUND($E4*1.25,3))</f>
        <v>0.43099999999999999</v>
      </c>
    </row>
    <row r="5" spans="1:19" ht="15" thickBot="1">
      <c r="A5" s="6" t="s">
        <v>99</v>
      </c>
      <c r="B5" s="6" t="s">
        <v>103</v>
      </c>
      <c r="C5" s="7" t="s">
        <v>217</v>
      </c>
      <c r="D5" s="10">
        <v>3582</v>
      </c>
      <c r="E5" s="18">
        <v>0.33</v>
      </c>
      <c r="F5" s="18">
        <f>MIN(100%,ROUND(E5*1.65,3))</f>
        <v>0.54500000000000004</v>
      </c>
      <c r="G5" s="6" t="str">
        <f>IF(F5&gt;35%,"Tinggi",IF(F5&gt;=20%,"Sedang","Rendah"))</f>
        <v>Tinggi</v>
      </c>
      <c r="H5" s="18">
        <f>MIN(100%,ROUND($E5*1.25,3))</f>
        <v>0.41299999999999998</v>
      </c>
      <c r="I5" s="18">
        <f>MIN(100%,ROUND($E5*1.3,3))</f>
        <v>0.42899999999999999</v>
      </c>
      <c r="J5" s="18">
        <f>MIN(100%,ROUND($E5*1.2,3))</f>
        <v>0.39600000000000002</v>
      </c>
      <c r="K5" s="18">
        <f>MIN(100%,ROUND($E5*1,3))</f>
        <v>0.33</v>
      </c>
      <c r="L5" s="18">
        <f>MIN(100%,ROUND($E5*0.75,3))</f>
        <v>0.248</v>
      </c>
      <c r="M5" s="18">
        <f>MIN(100%,ROUND($E5*0.55,3))</f>
        <v>0.182</v>
      </c>
      <c r="N5" s="18">
        <f>MIN(100%,ROUND($E5*0.45,3))</f>
        <v>0.14899999999999999</v>
      </c>
      <c r="O5" s="18">
        <f>MIN(100%,ROUND($E5*0.45,3))</f>
        <v>0.14899999999999999</v>
      </c>
      <c r="P5" s="18">
        <f>MIN(100%,ROUND($E5*0.6,3))</f>
        <v>0.19800000000000001</v>
      </c>
      <c r="Q5" s="18">
        <f>MIN(100%,ROUND($E5*0.85,3))</f>
        <v>0.28100000000000003</v>
      </c>
      <c r="R5" s="18">
        <f>MIN(100%,ROUND($E5*1.1,3))</f>
        <v>0.36299999999999999</v>
      </c>
      <c r="S5" s="18">
        <f>MIN(100%,ROUND($E5*1.25,3))</f>
        <v>0.41299999999999998</v>
      </c>
    </row>
    <row r="6" spans="1:19" ht="15" thickBot="1">
      <c r="A6" s="6" t="s">
        <v>122</v>
      </c>
      <c r="B6" s="6" t="s">
        <v>128</v>
      </c>
      <c r="C6" s="7" t="s">
        <v>218</v>
      </c>
      <c r="D6" s="10">
        <v>1119</v>
      </c>
      <c r="E6" s="18">
        <v>0.27</v>
      </c>
      <c r="F6" s="18">
        <f>MIN(100%,ROUND(E6*1.65,3))</f>
        <v>0.44600000000000001</v>
      </c>
      <c r="G6" s="6" t="str">
        <f>IF(F6&gt;35%,"Tinggi",IF(F6&gt;=20%,"Sedang","Rendah"))</f>
        <v>Tinggi</v>
      </c>
      <c r="H6" s="18">
        <f>MIN(100%,ROUND($E6*1.25,3))</f>
        <v>0.33800000000000002</v>
      </c>
      <c r="I6" s="18">
        <f>MIN(100%,ROUND($E6*1.3,3))</f>
        <v>0.35099999999999998</v>
      </c>
      <c r="J6" s="18">
        <f>MIN(100%,ROUND($E6*1.2,3))</f>
        <v>0.32400000000000001</v>
      </c>
      <c r="K6" s="18">
        <f>MIN(100%,ROUND($E6*1,3))</f>
        <v>0.27</v>
      </c>
      <c r="L6" s="18">
        <f>MIN(100%,ROUND($E6*0.75,3))</f>
        <v>0.20300000000000001</v>
      </c>
      <c r="M6" s="18">
        <f>MIN(100%,ROUND($E6*0.55,3))</f>
        <v>0.14899999999999999</v>
      </c>
      <c r="N6" s="18">
        <f>MIN(100%,ROUND($E6*0.45,3))</f>
        <v>0.122</v>
      </c>
      <c r="O6" s="18">
        <f>MIN(100%,ROUND($E6*0.45,3))</f>
        <v>0.122</v>
      </c>
      <c r="P6" s="18">
        <f>MIN(100%,ROUND($E6*0.6,3))</f>
        <v>0.16200000000000001</v>
      </c>
      <c r="Q6" s="18">
        <f>MIN(100%,ROUND($E6*0.85,3))</f>
        <v>0.23</v>
      </c>
      <c r="R6" s="18">
        <f>MIN(100%,ROUND($E6*1.1,3))</f>
        <v>0.29699999999999999</v>
      </c>
      <c r="S6" s="18">
        <f>MIN(100%,ROUND($E6*1.25,3))</f>
        <v>0.33800000000000002</v>
      </c>
    </row>
    <row r="7" spans="1:19" ht="15" thickBot="1">
      <c r="A7" s="6" t="s">
        <v>122</v>
      </c>
      <c r="B7" s="6" t="s">
        <v>124</v>
      </c>
      <c r="C7" s="7" t="s">
        <v>219</v>
      </c>
      <c r="D7" s="10">
        <v>692</v>
      </c>
      <c r="E7" s="18">
        <v>0.255</v>
      </c>
      <c r="F7" s="18">
        <f>MIN(100%,ROUND(E7*1.65,3))</f>
        <v>0.42099999999999999</v>
      </c>
      <c r="G7" s="6" t="str">
        <f>IF(F7&gt;35%,"Tinggi",IF(F7&gt;=20%,"Sedang","Rendah"))</f>
        <v>Tinggi</v>
      </c>
      <c r="H7" s="18">
        <f>MIN(100%,ROUND($E7*1.25,3))</f>
        <v>0.31900000000000001</v>
      </c>
      <c r="I7" s="18">
        <f>MIN(100%,ROUND($E7*1.3,3))</f>
        <v>0.33200000000000002</v>
      </c>
      <c r="J7" s="18">
        <f>MIN(100%,ROUND($E7*1.2,3))</f>
        <v>0.30599999999999999</v>
      </c>
      <c r="K7" s="18">
        <f>MIN(100%,ROUND($E7*1,3))</f>
        <v>0.255</v>
      </c>
      <c r="L7" s="18">
        <f>MIN(100%,ROUND($E7*0.75,3))</f>
        <v>0.191</v>
      </c>
      <c r="M7" s="18">
        <f>MIN(100%,ROUND($E7*0.55,3))</f>
        <v>0.14000000000000001</v>
      </c>
      <c r="N7" s="18">
        <f>MIN(100%,ROUND($E7*0.45,3))</f>
        <v>0.115</v>
      </c>
      <c r="O7" s="18">
        <f>MIN(100%,ROUND($E7*0.45,3))</f>
        <v>0.115</v>
      </c>
      <c r="P7" s="18">
        <f>MIN(100%,ROUND($E7*0.6,3))</f>
        <v>0.153</v>
      </c>
      <c r="Q7" s="18">
        <f>MIN(100%,ROUND($E7*0.85,3))</f>
        <v>0.217</v>
      </c>
      <c r="R7" s="18">
        <f>MIN(100%,ROUND($E7*1.1,3))</f>
        <v>0.28100000000000003</v>
      </c>
      <c r="S7" s="18">
        <f>MIN(100%,ROUND($E7*1.25,3))</f>
        <v>0.31900000000000001</v>
      </c>
    </row>
    <row r="8" spans="1:19" ht="15" thickBot="1">
      <c r="A8" s="6" t="s">
        <v>59</v>
      </c>
      <c r="B8" s="6" t="s">
        <v>63</v>
      </c>
      <c r="C8" s="7" t="s">
        <v>220</v>
      </c>
      <c r="D8" s="10">
        <v>781</v>
      </c>
      <c r="E8" s="18">
        <v>0.3</v>
      </c>
      <c r="F8" s="18">
        <f>MIN(100%,ROUND(E8*1.65,3))</f>
        <v>0.495</v>
      </c>
      <c r="G8" s="6" t="str">
        <f>IF(F8&gt;35%,"Tinggi",IF(F8&gt;=20%,"Sedang","Rendah"))</f>
        <v>Tinggi</v>
      </c>
      <c r="H8" s="18">
        <f>MIN(100%,ROUND($E8*1.25,3))</f>
        <v>0.375</v>
      </c>
      <c r="I8" s="18">
        <f>MIN(100%,ROUND($E8*1.3,3))</f>
        <v>0.39</v>
      </c>
      <c r="J8" s="18">
        <f>MIN(100%,ROUND($E8*1.2,3))</f>
        <v>0.36</v>
      </c>
      <c r="K8" s="18">
        <f>MIN(100%,ROUND($E8*1,3))</f>
        <v>0.3</v>
      </c>
      <c r="L8" s="18">
        <f>MIN(100%,ROUND($E8*0.75,3))</f>
        <v>0.22500000000000001</v>
      </c>
      <c r="M8" s="18">
        <f>MIN(100%,ROUND($E8*0.55,3))</f>
        <v>0.16500000000000001</v>
      </c>
      <c r="N8" s="18">
        <f>MIN(100%,ROUND($E8*0.45,3))</f>
        <v>0.13500000000000001</v>
      </c>
      <c r="O8" s="18">
        <f>MIN(100%,ROUND($E8*0.45,3))</f>
        <v>0.13500000000000001</v>
      </c>
      <c r="P8" s="18">
        <f>MIN(100%,ROUND($E8*0.6,3))</f>
        <v>0.18</v>
      </c>
      <c r="Q8" s="18">
        <f>MIN(100%,ROUND($E8*0.85,3))</f>
        <v>0.255</v>
      </c>
      <c r="R8" s="18">
        <f>MIN(100%,ROUND($E8*1.1,3))</f>
        <v>0.33</v>
      </c>
      <c r="S8" s="18">
        <f>MIN(100%,ROUND($E8*1.25,3))</f>
        <v>0.375</v>
      </c>
    </row>
    <row r="9" spans="1:19" ht="15" thickBot="1">
      <c r="A9" s="6" t="s">
        <v>59</v>
      </c>
      <c r="B9" s="6" t="s">
        <v>59</v>
      </c>
      <c r="C9" s="7" t="s">
        <v>221</v>
      </c>
      <c r="D9" s="10">
        <v>1304</v>
      </c>
      <c r="E9" s="18">
        <v>0.33</v>
      </c>
      <c r="F9" s="18">
        <f>MIN(100%,ROUND(E9*1.65,3))</f>
        <v>0.54500000000000004</v>
      </c>
      <c r="G9" s="6" t="str">
        <f>IF(F9&gt;35%,"Tinggi",IF(F9&gt;=20%,"Sedang","Rendah"))</f>
        <v>Tinggi</v>
      </c>
      <c r="H9" s="18">
        <f>MIN(100%,ROUND($E9*1.25,3))</f>
        <v>0.41299999999999998</v>
      </c>
      <c r="I9" s="18">
        <f>MIN(100%,ROUND($E9*1.3,3))</f>
        <v>0.42899999999999999</v>
      </c>
      <c r="J9" s="18">
        <f>MIN(100%,ROUND($E9*1.2,3))</f>
        <v>0.39600000000000002</v>
      </c>
      <c r="K9" s="18">
        <f>MIN(100%,ROUND($E9*1,3))</f>
        <v>0.33</v>
      </c>
      <c r="L9" s="18">
        <f>MIN(100%,ROUND($E9*0.75,3))</f>
        <v>0.248</v>
      </c>
      <c r="M9" s="18">
        <f>MIN(100%,ROUND($E9*0.55,3))</f>
        <v>0.182</v>
      </c>
      <c r="N9" s="18">
        <f>MIN(100%,ROUND($E9*0.45,3))</f>
        <v>0.14899999999999999</v>
      </c>
      <c r="O9" s="18">
        <f>MIN(100%,ROUND($E9*0.45,3))</f>
        <v>0.14899999999999999</v>
      </c>
      <c r="P9" s="18">
        <f>MIN(100%,ROUND($E9*0.6,3))</f>
        <v>0.19800000000000001</v>
      </c>
      <c r="Q9" s="18">
        <f>MIN(100%,ROUND($E9*0.85,3))</f>
        <v>0.28100000000000003</v>
      </c>
      <c r="R9" s="18">
        <f>MIN(100%,ROUND($E9*1.1,3))</f>
        <v>0.36299999999999999</v>
      </c>
      <c r="S9" s="18">
        <f>MIN(100%,ROUND($E9*1.25,3))</f>
        <v>0.41299999999999998</v>
      </c>
    </row>
    <row r="10" spans="1:19">
      <c r="A10" s="6" t="s">
        <v>99</v>
      </c>
      <c r="B10" s="6" t="s">
        <v>105</v>
      </c>
      <c r="C10" s="7" t="s">
        <v>222</v>
      </c>
      <c r="D10" s="10">
        <v>2848</v>
      </c>
      <c r="E10" s="18">
        <v>0.33</v>
      </c>
      <c r="F10" s="18">
        <f>MIN(100%,ROUND(E10*1.65,3))</f>
        <v>0.54500000000000004</v>
      </c>
      <c r="G10" s="6" t="str">
        <f>IF(F10&gt;35%,"Tinggi",IF(F10&gt;=20%,"Sedang","Rendah"))</f>
        <v>Tinggi</v>
      </c>
      <c r="H10" s="18">
        <f>MIN(100%,ROUND($E10*1.25,3))</f>
        <v>0.41299999999999998</v>
      </c>
      <c r="I10" s="18">
        <f>MIN(100%,ROUND($E10*1.3,3))</f>
        <v>0.42899999999999999</v>
      </c>
      <c r="J10" s="18">
        <f>MIN(100%,ROUND($E10*1.2,3))</f>
        <v>0.39600000000000002</v>
      </c>
      <c r="K10" s="18">
        <f>MIN(100%,ROUND($E10*1,3))</f>
        <v>0.33</v>
      </c>
      <c r="L10" s="18">
        <f>MIN(100%,ROUND($E10*0.75,3))</f>
        <v>0.248</v>
      </c>
      <c r="M10" s="18">
        <f>MIN(100%,ROUND($E10*0.55,3))</f>
        <v>0.182</v>
      </c>
      <c r="N10" s="18">
        <f>MIN(100%,ROUND($E10*0.45,3))</f>
        <v>0.14899999999999999</v>
      </c>
      <c r="O10" s="18">
        <f>MIN(100%,ROUND($E10*0.45,3))</f>
        <v>0.14899999999999999</v>
      </c>
      <c r="P10" s="18">
        <f>MIN(100%,ROUND($E10*0.6,3))</f>
        <v>0.19800000000000001</v>
      </c>
      <c r="Q10" s="18">
        <f>MIN(100%,ROUND($E10*0.85,3))</f>
        <v>0.28100000000000003</v>
      </c>
      <c r="R10" s="18">
        <f>MIN(100%,ROUND($E10*1.1,3))</f>
        <v>0.36299999999999999</v>
      </c>
      <c r="S10" s="18">
        <f>MIN(100%,ROUND($E10*1.25,3))</f>
        <v>0.41299999999999998</v>
      </c>
    </row>
  </sheetData>
  <conditionalFormatting sqref="G2:G10">
    <cfRule type="expression" dxfId="2" priority="1">
      <formula>$G2="Tinggi"</formula>
    </cfRule>
  </conditionalFormatting>
  <conditionalFormatting sqref="G2:G10">
    <cfRule type="expression" dxfId="1" priority="2">
      <formula>$G2="Sedang"</formula>
    </cfRule>
  </conditionalFormatting>
  <conditionalFormatting sqref="G2:G10">
    <cfRule type="expression" dxfId="0" priority="3">
      <formula>$G2="Rendah"</formula>
    </cfRule>
  </conditionalFormatting>
  <conditionalFormatting sqref="E2:S10">
    <cfRule type="colorScale" priority="4">
      <colorScale>
        <cfvo type="min"/>
        <cfvo type="percentile" val="50"/>
        <cfvo type="max"/>
        <color rgb="FFFFFFFF"/>
        <color rgb="FFFFD966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serangan beluk per TM</vt:lpstr>
      <vt:lpstr>market leader insektisida beluk</vt:lpstr>
      <vt:lpstr>serangan blast padi per TM</vt:lpstr>
      <vt:lpstr>market leader fungisida</vt:lpstr>
      <vt:lpstr>serangan ulat bawang merah</vt:lpstr>
      <vt:lpstr>market leader insekt bamer</vt:lpstr>
      <vt:lpstr>serangan busuk daun kentang</vt:lpstr>
      <vt:lpstr>serangan bercak kering kentang</vt:lpstr>
      <vt:lpstr>serangan busuk umbi kentang</vt:lpstr>
      <vt:lpstr>serangan layu bakteri kentang</vt:lpstr>
      <vt:lpstr>serangan kutu cabai</vt:lpstr>
      <vt:lpstr>market leader kutu cabai</vt:lpstr>
      <vt:lpstr>serangan tungau cabai</vt:lpstr>
      <vt:lpstr>market leader tungau cabai</vt:lpstr>
      <vt:lpstr>serangan thrips cabai</vt:lpstr>
      <vt:lpstr>market leader thrips cabai</vt:lpstr>
      <vt:lpstr>serangan ulat buah cabai</vt:lpstr>
      <vt:lpstr>market leader ulat buah cabai</vt:lpstr>
      <vt:lpstr>serangan ulat daun cabai</vt:lpstr>
      <vt:lpstr>market leader ulat daun cabai</vt:lpstr>
      <vt:lpstr>serangan patek buah cabai</vt:lpstr>
    </vt:vector>
  </TitlesOfParts>
  <Company>Bayer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Widya Nugroho</dc:creator>
  <cp:lastModifiedBy>Widya Nugroho</cp:lastModifiedBy>
  <dcterms:created xsi:type="dcterms:W3CDTF">2026-09-03T10:44:07Z</dcterms:created>
  <dcterms:modified xsi:type="dcterms:W3CDTF">2026-09-04T11:14:08Z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2026-09-03T10:55:20Z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ac1aafbe-e4c8-412d-806c-2265aef9f868</vt:lpwstr>
  </property>
  <property fmtid="{D5CDD505-2E9C-101B-9397-08002B2CF9AE}" pid="8" name="MSIP_Label_2c76c141-ac86-40e5-abf2-c6f60e474cee_ContentBits">
    <vt:lpwstr>2</vt:lpwstr>
  </property>
  <property fmtid="{D5CDD505-2E9C-101B-9397-08002B2CF9AE}" pid="9" name="MSIP_Label_2c76c141-ac86-40e5-abf2-c6f60e474cee_Tag">
    <vt:lpwstr>10, 3, 0, 1</vt:lpwstr>
  </property>
</Properties>
</file>